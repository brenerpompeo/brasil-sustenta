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isao Geral" sheetId="1" state="visible" r:id="rId3"/>
    <sheet name="Sprint -1" sheetId="2" state="visible" r:id="rId4"/>
    <sheet name="Sprint 0" sheetId="3" state="visible" r:id="rId5"/>
    <sheet name="Sprint 1" sheetId="4" state="visible" r:id="rId6"/>
    <sheet name="Sprint 2" sheetId="5" state="visible" r:id="rId7"/>
    <sheet name="Sprint 3" sheetId="6" state="visible" r:id="rId8"/>
    <sheet name="Sprint 4-5" sheetId="7" state="visible" r:id="rId9"/>
    <sheet name="Metricas Semanais" sheetId="8" state="visible" r:id="rId10"/>
    <sheet name="Unit Economic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<sst xmlns="http://schemas.openxmlformats.org/spreadsheetml/2006/main" count="808" uniqueCount="515">
  <si>
    <t xml:space="preserve">BRASIL SUSTENTA — ROADMAP 90 DIAS (Sprint -1 → Launch)</t>
  </si>
  <si>
    <t xml:space="preserve">Fase</t>
  </si>
  <si>
    <t xml:space="preserve">Periodo</t>
  </si>
  <si>
    <t xml:space="preserve">Sprint</t>
  </si>
  <si>
    <t xml:space="preserve">Objetivo</t>
  </si>
  <si>
    <t xml:space="preserve">Meta Quantitativa</t>
  </si>
  <si>
    <t xml:space="preserve">Entregavel Chave</t>
  </si>
  <si>
    <t xml:space="preserve">F0 Prep</t>
  </si>
  <si>
    <t xml:space="preserve">Abr 26-30</t>
  </si>
  <si>
    <t xml:space="preserve">Sprint -1</t>
  </si>
  <si>
    <t xml:space="preserve">Seguranca + migracao auth + base tecnica</t>
  </si>
  <si>
    <t xml:space="preserve">100% secrets rotacionados + deploy Vercel verde</t>
  </si>
  <si>
    <t xml:space="preserve">Credentials playbook + deploy prod</t>
  </si>
  <si>
    <t xml:space="preserve">F1 Tracao</t>
  </si>
  <si>
    <t xml:space="preserve">Mai 4-31</t>
  </si>
  <si>
    <t xml:space="preserve">Sprint 0-1</t>
  </si>
  <si>
    <t xml:space="preserve">Lancar site publico + 3 landing pages + Suzely v2</t>
  </si>
  <si>
    <t xml:space="preserve">8k visitas/mes + 50 MQLs + 3 Pilots pipeline</t>
  </si>
  <si>
    <t xml:space="preserve">Site live + /para-empresas + /para-prefeituras</t>
  </si>
  <si>
    <t xml:space="preserve">F2 Conversao</t>
  </si>
  <si>
    <t xml:space="preserve">Jun 1-30</t>
  </si>
  <si>
    <t xml:space="preserve">Sprint 2-3</t>
  </si>
  <si>
    <t xml:space="preserve">Fechar 1o Pilot Project + Suzely alocando</t>
  </si>
  <si>
    <t xml:space="preserve">1 Pilot assinado (R$15-25k) + 5 squads teste</t>
  </si>
  <si>
    <t xml:space="preserve">Contrato + relatorio + case</t>
  </si>
  <si>
    <t xml:space="preserve">F3 Expansao</t>
  </si>
  <si>
    <t xml:space="preserve">Jul 1-24</t>
  </si>
  <si>
    <t xml:space="preserve">Sprint 4-5</t>
  </si>
  <si>
    <t xml:space="preserve">2o Pilot + 1a Prefeitura em conversa + Partner</t>
  </si>
  <si>
    <t xml:space="preserve">MRR inicial + 1 MOU universitario + 1 RFP B2G</t>
  </si>
  <si>
    <t xml:space="preserve">Pipeline 3x + base de dados &gt;50 talentos</t>
  </si>
  <si>
    <t xml:space="preserve">Launch Publico</t>
  </si>
  <si>
    <t xml:space="preserve">Jul 25-26</t>
  </si>
  <si>
    <t xml:space="preserve">Kickoff</t>
  </si>
  <si>
    <t xml:space="preserve">Evento publico + PR + investidor</t>
  </si>
  <si>
    <t xml:space="preserve">100 inscritos evento + 10 press mentions</t>
  </si>
  <si>
    <t xml:space="preserve">Deck pitch + press kit + LinkedIn push</t>
  </si>
  <si>
    <t xml:space="preserve">METAS DIA 90 (KPIs de sucesso)</t>
  </si>
  <si>
    <t xml:space="preserve">Categoria</t>
  </si>
  <si>
    <t xml:space="preserve">KPI</t>
  </si>
  <si>
    <t xml:space="preserve">Meta</t>
  </si>
  <si>
    <t xml:space="preserve">Definicao</t>
  </si>
  <si>
    <t xml:space="preserve">Comercial</t>
  </si>
  <si>
    <t xml:space="preserve">Pilots fechados</t>
  </si>
  <si>
    <t xml:space="preserve">2</t>
  </si>
  <si>
    <t xml:space="preserve">Deals B2B assinados com pagamento</t>
  </si>
  <si>
    <t xml:space="preserve">Pipeline qualificado B2B (SQL)</t>
  </si>
  <si>
    <t xml:space="preserve">R$ 200.000</t>
  </si>
  <si>
    <t xml:space="preserve">Soma de oportunidades em negociacao</t>
  </si>
  <si>
    <t xml:space="preserve">Pipeline B2G (conversas formais)</t>
  </si>
  <si>
    <t xml:space="preserve">5 municipios</t>
  </si>
  <si>
    <t xml:space="preserve">RFPs identificadas ou dispensa em analise</t>
  </si>
  <si>
    <t xml:space="preserve">Supply</t>
  </si>
  <si>
    <t xml:space="preserve">Talentos cadastrados</t>
  </si>
  <si>
    <t xml:space="preserve">300</t>
  </si>
  <si>
    <t xml:space="preserve">Perfil completo, consentimento LGPD ativo</t>
  </si>
  <si>
    <t xml:space="preserve">Taxa perfil completo</t>
  </si>
  <si>
    <t xml:space="preserve">40%</t>
  </si>
  <si>
    <t xml:space="preserve">De 300 cadastrados, 120 com perfil 100%</t>
  </si>
  <si>
    <t xml:space="preserve">Universidade</t>
  </si>
  <si>
    <t xml:space="preserve">MOUs ativos</t>
  </si>
  <si>
    <t xml:space="preserve">3</t>
  </si>
  <si>
    <t xml:space="preserve">Starter R$5-10k semestre ou Partner</t>
  </si>
  <si>
    <t xml:space="preserve">Produto</t>
  </si>
  <si>
    <t xml:space="preserve">Suzely latencia p95</t>
  </si>
  <si>
    <t xml:space="preserve">&lt; 200 ms</t>
  </si>
  <si>
    <t xml:space="preserve">Query match em 500 talentos</t>
  </si>
  <si>
    <t xml:space="preserve">Match → selecionado</t>
  </si>
  <si>
    <t xml:space="preserve">&gt; 35%</t>
  </si>
  <si>
    <t xml:space="preserve">Dos top-10 Suzely, 4 escolhidos pelo cliente</t>
  </si>
  <si>
    <t xml:space="preserve">Marketing</t>
  </si>
  <si>
    <t xml:space="preserve">Visitas organicas/mes</t>
  </si>
  <si>
    <t xml:space="preserve">8.000</t>
  </si>
  <si>
    <t xml:space="preserve">Google Analytics</t>
  </si>
  <si>
    <t xml:space="preserve">Newsletter assinantes</t>
  </si>
  <si>
    <t xml:space="preserve">500</t>
  </si>
  <si>
    <t xml:space="preserve">Opt-in ativo</t>
  </si>
  <si>
    <t xml:space="preserve">Investidor</t>
  </si>
  <si>
    <t xml:space="preserve">Conversas iniciadas</t>
  </si>
  <si>
    <t xml:space="preserve">10 fundos</t>
  </si>
  <si>
    <t xml:space="preserve">Fundos de impacto + VC generalista</t>
  </si>
  <si>
    <t xml:space="preserve">Term sheets</t>
  </si>
  <si>
    <t xml:space="preserve">1-2</t>
  </si>
  <si>
    <t xml:space="preserve">Rodada pre-seed R$ 2-3M</t>
  </si>
  <si>
    <t xml:space="preserve">SPRINT -1 — PREP (Abr 26 – Mai 3, 2026)</t>
  </si>
  <si>
    <t xml:space="preserve">Objetivo: desbloquear seguranca + migracao Supabase + deploy Vercel + base tecnica para tracao</t>
  </si>
  <si>
    <t xml:space="preserve">ID</t>
  </si>
  <si>
    <t xml:space="preserve">Tarefa</t>
  </si>
  <si>
    <t xml:space="preserve">Responsavel</t>
  </si>
  <si>
    <t xml:space="preserve">Prioridade</t>
  </si>
  <si>
    <t xml:space="preserve">Prazo</t>
  </si>
  <si>
    <t xml:space="preserve">Esforco (h)</t>
  </si>
  <si>
    <t xml:space="preserve">Dependencia</t>
  </si>
  <si>
    <t xml:space="preserve">Criterio de aceite</t>
  </si>
  <si>
    <t xml:space="preserve">T-001</t>
  </si>
  <si>
    <t xml:space="preserve">Rotacionar 100% secrets (Supabase, Gemini, JWT, DB)</t>
  </si>
  <si>
    <t xml:space="preserve">CTO + Brener</t>
  </si>
  <si>
    <t xml:space="preserve">P0</t>
  </si>
  <si>
    <t xml:space="preserve">Abr 26</t>
  </si>
  <si>
    <t xml:space="preserve">-</t>
  </si>
  <si>
    <t xml:space="preserve">Vercel rodando com secrets novos; .env.example atualizado</t>
  </si>
  <si>
    <t xml:space="preserve">T-002</t>
  </si>
  <si>
    <t xml:space="preserve">Auditar git history (.env nunca commitado)</t>
  </si>
  <si>
    <t xml:space="preserve">CTO</t>
  </si>
  <si>
    <t xml:space="preserve">git log confirma; se commit achado, filter-repo executado</t>
  </si>
  <si>
    <t xml:space="preserve">T-003</t>
  </si>
  <si>
    <t xml:space="preserve">Habilitar GitHub secret scanning + push protection</t>
  </si>
  <si>
    <t xml:space="preserve">Settings &gt; Code security ativado</t>
  </si>
  <si>
    <t xml:space="preserve">T-004</t>
  </si>
  <si>
    <t xml:space="preserve">Migrar auth Cognito → Supabase Auth</t>
  </si>
  <si>
    <t xml:space="preserve">AI-Dev-Senior</t>
  </si>
  <si>
    <t xml:space="preserve">Abr 29</t>
  </si>
  <si>
    <t xml:space="preserve">Login funciona com email+senha + OAuth Google</t>
  </si>
  <si>
    <t xml:space="preserve">T-005</t>
  </si>
  <si>
    <t xml:space="preserve">Deploy Vercel Preview + configurar custom domain</t>
  </si>
  <si>
    <t xml:space="preserve">Abr 30</t>
  </si>
  <si>
    <t xml:space="preserve">brasilsustenta.com.br acessivel; SSL verde</t>
  </si>
  <si>
    <t xml:space="preserve">T-006</t>
  </si>
  <si>
    <t xml:space="preserve">Rodar migrations Drizzle em Supabase prod</t>
  </si>
  <si>
    <t xml:space="preserve">Schema aplicado; seeds de teste rodaram ok</t>
  </si>
  <si>
    <t xml:space="preserve">T-007</t>
  </si>
  <si>
    <t xml:space="preserve">Criar migration 0005 com indices pgvector (ivfflat)</t>
  </si>
  <si>
    <t xml:space="preserve">P1</t>
  </si>
  <si>
    <t xml:space="preserve">Mai 1</t>
  </si>
  <si>
    <t xml:space="preserve">EXPLAIN ANALYZE usa indice; latencia &lt; 200ms</t>
  </si>
  <si>
    <t xml:space="preserve">T-008</t>
  </si>
  <si>
    <t xml:space="preserve">Setup Sentry + logs estruturados (pino)</t>
  </si>
  <si>
    <t xml:space="preserve">Erros chegam no Sentry; logs formatados JSON</t>
  </si>
  <si>
    <t xml:space="preserve">T-009</t>
  </si>
  <si>
    <t xml:space="preserve">Middleware auth centralizado em /api/*</t>
  </si>
  <si>
    <t xml:space="preserve">Mai 2</t>
  </si>
  <si>
    <t xml:space="preserve">Rota /api/upload sem token retorna 401</t>
  </si>
  <si>
    <t xml:space="preserve">T-010</t>
  </si>
  <si>
    <t xml:space="preserve">Rate limit em endpoints de auth (10 req/min)</t>
  </si>
  <si>
    <t xml:space="preserve">11a tentativa em 1min retorna 429</t>
  </si>
  <si>
    <t xml:space="preserve">T-011</t>
  </si>
  <si>
    <t xml:space="preserve">E2E smoke test: login empresa + jovem + admin</t>
  </si>
  <si>
    <t xml:space="preserve">Mai 3</t>
  </si>
  <si>
    <t xml:space="preserve">Playwright passa 3 fluxos em &lt;2min</t>
  </si>
  <si>
    <t xml:space="preserve">T-012</t>
  </si>
  <si>
    <t xml:space="preserve">Atualizar README + CONTRIBUTING + SECURITY.md</t>
  </si>
  <si>
    <t xml:space="preserve">P2</t>
  </si>
  <si>
    <t xml:space="preserve">Docs publicadas no repo</t>
  </si>
  <si>
    <t xml:space="preserve">T-013</t>
  </si>
  <si>
    <t xml:space="preserve">Definir quarterly OKRs Q2 2026</t>
  </si>
  <si>
    <t xml:space="preserve">CEO + Board</t>
  </si>
  <si>
    <t xml:space="preserve">OKRs publicadas em Notion; Board alinhado</t>
  </si>
  <si>
    <t xml:space="preserve">T-014</t>
  </si>
  <si>
    <t xml:space="preserve">Setup calendly + inbox comercial@ + contato@</t>
  </si>
  <si>
    <t xml:space="preserve">Brener</t>
  </si>
  <si>
    <t xml:space="preserve">Leads podem agendar; e-mails chegam</t>
  </si>
  <si>
    <t xml:space="preserve">Total esforco (h)</t>
  </si>
  <si>
    <t xml:space="preserve">SPRINT 0 — LANDING + SUPPLY (Mai 4-17, 2026)</t>
  </si>
  <si>
    <t xml:space="preserve">Objetivo: 3 landing pages otimizadas + fluxo cadastro talento completo + captacao inicial</t>
  </si>
  <si>
    <t xml:space="preserve">T-100</t>
  </si>
  <si>
    <t xml:space="preserve">Revisar + otimizar /para-empresas (copy + CTA + form)</t>
  </si>
  <si>
    <t xml:space="preserve">CMO + Designer</t>
  </si>
  <si>
    <t xml:space="preserve">Mai 6</t>
  </si>
  <si>
    <t xml:space="preserve">Lighthouse mobile &gt; 90; 3 CTAs; form funcional</t>
  </si>
  <si>
    <t xml:space="preserve">T-101</t>
  </si>
  <si>
    <t xml:space="preserve">Revisar + otimizar /para-prefeituras (LAI + lei licitacoes)</t>
  </si>
  <si>
    <t xml:space="preserve">CMO + bs-b2g-sales</t>
  </si>
  <si>
    <t xml:space="preserve">Mai 8</t>
  </si>
  <si>
    <t xml:space="preserve">Copy validado por skill bs-b2g-procurement-law</t>
  </si>
  <si>
    <t xml:space="preserve">T-102</t>
  </si>
  <si>
    <t xml:space="preserve">Revisar + otimizar /para-jovens (onboarding 10 campos)</t>
  </si>
  <si>
    <t xml:space="preserve">CMO + bs-squad-coordinator</t>
  </si>
  <si>
    <t xml:space="preserve">Cadastro em &lt;3min; validacao inline</t>
  </si>
  <si>
    <t xml:space="preserve">T-103</t>
  </si>
  <si>
    <t xml:space="preserve">Checkout stub (modal intent + lead capture)</t>
  </si>
  <si>
    <t xml:space="preserve">Mai 10</t>
  </si>
  <si>
    <t xml:space="preserve">Modal abre; form valida; lead cria em DB</t>
  </si>
  <si>
    <t xml:space="preserve">T-104</t>
  </si>
  <si>
    <t xml:space="preserve">E-mail transacional (Resend ou SMTP Supabase)</t>
  </si>
  <si>
    <t xml:space="preserve">Lead gera e-mail em &lt;30s para comercial@</t>
  </si>
  <si>
    <t xml:space="preserve">T-105</t>
  </si>
  <si>
    <t xml:space="preserve">Whitepaper B2G: Plano Municipal ODS 12 semanas (PDF)</t>
  </si>
  <si>
    <t xml:space="preserve">VP Impacto + CMO</t>
  </si>
  <si>
    <t xml:space="preserve">Mai 12</t>
  </si>
  <si>
    <t xml:space="preserve">PDF 8-12p publicado; lead magnet na landing</t>
  </si>
  <si>
    <t xml:space="preserve">T-106</t>
  </si>
  <si>
    <t xml:space="preserve">Whitepaper B2B: Matriz de Materialidade 4 semanas (PDF)</t>
  </si>
  <si>
    <t xml:space="preserve">PDF 6-10p publicado; CTA na landing</t>
  </si>
  <si>
    <t xml:space="preserve">T-107</t>
  </si>
  <si>
    <t xml:space="preserve">Setup Mixpanel (ou equivalente) + 10 eventos core</t>
  </si>
  <si>
    <t xml:space="preserve">Growth Hacker</t>
  </si>
  <si>
    <t xml:space="preserve">Mai 13</t>
  </si>
  <si>
    <t xml:space="preserve">T-100,T-101,T-102</t>
  </si>
  <si>
    <t xml:space="preserve">Eventos trackando: view_landing, scroll, cta_click, form_submit</t>
  </si>
  <si>
    <t xml:space="preserve">T-108</t>
  </si>
  <si>
    <t xml:space="preserve">Setup CRM (Hubspot Free ou Pipedrive)</t>
  </si>
  <si>
    <t xml:space="preserve">CRO</t>
  </si>
  <si>
    <t xml:space="preserve">Pipeline B2B + B2G configurado com estagios</t>
  </si>
  <si>
    <t xml:space="preserve">T-109</t>
  </si>
  <si>
    <t xml:space="preserve">Campanha LinkedIn organica (5 posts/sem do fundador)</t>
  </si>
  <si>
    <t xml:space="preserve">CEO + Growth</t>
  </si>
  <si>
    <t xml:space="preserve">Mai 14</t>
  </si>
  <si>
    <t xml:space="preserve">Calendario editorial 8 semanas publicado</t>
  </si>
  <si>
    <t xml:space="preserve">T-110</t>
  </si>
  <si>
    <t xml:space="preserve">Newsletter setup (ConvertKit/Beehiiv) + 1o envio</t>
  </si>
  <si>
    <t xml:space="preserve">CMO + Growth</t>
  </si>
  <si>
    <t xml:space="preserve">Primeira edicao para 100+ (rede pessoal founder)</t>
  </si>
  <si>
    <t xml:space="preserve">T-111</t>
  </si>
  <si>
    <t xml:space="preserve">Primeira rodada de benchmarking B2G (30 municipios)</t>
  </si>
  <si>
    <t xml:space="preserve">bs-b2g-sales</t>
  </si>
  <si>
    <t xml:space="preserve">Mai 15</t>
  </si>
  <si>
    <t xml:space="preserve">Lista mapeada em Airtable/Notion</t>
  </si>
  <si>
    <t xml:space="preserve">T-112</t>
  </si>
  <si>
    <t xml:space="preserve">Outreach universidades parceiras (20 IES alvo)</t>
  </si>
  <si>
    <t xml:space="preserve">Brener + bs-territory-lead</t>
  </si>
  <si>
    <t xml:space="preserve">20 contatos iniciais enviados; 5 respostas esperadas</t>
  </si>
  <si>
    <t xml:space="preserve">T-113</t>
  </si>
  <si>
    <t xml:space="preserve">Instrumentacao Suzely: coletar 1st batch 50 talentos</t>
  </si>
  <si>
    <t xml:space="preserve">bs-squad-coordinator</t>
  </si>
  <si>
    <t xml:space="preserve">Mai 16</t>
  </si>
  <si>
    <t xml:space="preserve">50 perfis completos rodam pelo pipeline</t>
  </si>
  <si>
    <t xml:space="preserve">T-114</t>
  </si>
  <si>
    <t xml:space="preserve">Retro Sprint 0 + demo interno Board</t>
  </si>
  <si>
    <t xml:space="preserve">Todos</t>
  </si>
  <si>
    <t xml:space="preserve">Mai 17</t>
  </si>
  <si>
    <t xml:space="preserve">Retro documentada + proximos passos aprovados</t>
  </si>
  <si>
    <t xml:space="preserve">SPRINT 1 — PRIMEIRO PILOT + CONTENT (Mai 18-31, 2026)</t>
  </si>
  <si>
    <t xml:space="preserve">Objetivo: fechar 1o Pilot Project B2B + iniciar Suzely com squad real + content marketing</t>
  </si>
  <si>
    <t xml:space="preserve">T-200</t>
  </si>
  <si>
    <t xml:space="preserve">Outbound founder-led: 50 empresas medias (200+ funcionarios)</t>
  </si>
  <si>
    <t xml:space="preserve">Brener (CEO)</t>
  </si>
  <si>
    <t xml:space="preserve">Mai 20</t>
  </si>
  <si>
    <t xml:space="preserve">50 emails + 20 LinkedIn; meta: 10 reunioes</t>
  </si>
  <si>
    <t xml:space="preserve">T-201</t>
  </si>
  <si>
    <t xml:space="preserve">Qualificar lead 1o Pilot (BANT + brief estruturado)</t>
  </si>
  <si>
    <t xml:space="preserve">CRO + CEO</t>
  </si>
  <si>
    <t xml:space="preserve">Mai 21</t>
  </si>
  <si>
    <t xml:space="preserve">Brief formal assinado; sponsor confirmado</t>
  </si>
  <si>
    <t xml:space="preserve">T-202</t>
  </si>
  <si>
    <t xml:space="preserve">Suzely allocation 1o Pilot (top 10 → squad 4)</t>
  </si>
  <si>
    <t xml:space="preserve">Mai 22</t>
  </si>
  <si>
    <t xml:space="preserve">Squad formado com validacao squad-formation-algorithm</t>
  </si>
  <si>
    <t xml:space="preserve">T-203</t>
  </si>
  <si>
    <t xml:space="preserve">Kickoff 1o Pilot (90min) + assinatura contrato 50%</t>
  </si>
  <si>
    <t xml:space="preserve">CRO + Squad Coord</t>
  </si>
  <si>
    <t xml:space="preserve">Mai 24</t>
  </si>
  <si>
    <t xml:space="preserve">Contrato assinado + entrada paga via PIX/boleto</t>
  </si>
  <si>
    <t xml:space="preserve">T-204</t>
  </si>
  <si>
    <t xml:space="preserve">Publicar 3 artigos evergreen SEO (2-3k palavras cada)</t>
  </si>
  <si>
    <t xml:space="preserve">CMO + redator</t>
  </si>
  <si>
    <t xml:space="preserve">Mai 25</t>
  </si>
  <si>
    <t xml:space="preserve">Artigos: O que e ESG, Matriz Materialidade, Plano Municipal ODS</t>
  </si>
  <si>
    <t xml:space="preserve">T-205</t>
  </si>
  <si>
    <t xml:space="preserve">Webinar 1 (Criatividade ESG em Empresas)</t>
  </si>
  <si>
    <t xml:space="preserve">CEO + guest</t>
  </si>
  <si>
    <t xml:space="preserve">Mai 26</t>
  </si>
  <si>
    <t xml:space="preserve">50 inscritos; 25 presentes; gravacao publicada</t>
  </si>
  <si>
    <t xml:space="preserve">T-206</t>
  </si>
  <si>
    <t xml:space="preserve">Primeira entrega Semana 1 do Pilot (brief + plano)</t>
  </si>
  <si>
    <t xml:space="preserve">Squad + Coord</t>
  </si>
  <si>
    <t xml:space="preserve">Mai 27</t>
  </si>
  <si>
    <t xml:space="preserve">Plano de trabalho aprovado pelo sponsor</t>
  </si>
  <si>
    <t xml:space="preserve">T-207</t>
  </si>
  <si>
    <t xml:space="preserve">Outreach 2a rodada B2B (50 empresas)</t>
  </si>
  <si>
    <t xml:space="preserve">Mai 28</t>
  </si>
  <si>
    <t xml:space="preserve">Meta: 5 novos deals em discovery</t>
  </si>
  <si>
    <t xml:space="preserve">T-208</t>
  </si>
  <si>
    <t xml:space="preserve">Reuniao 1a com Prefeitura (capital SP interior)</t>
  </si>
  <si>
    <t xml:space="preserve">bs-b2g-sales + CEO</t>
  </si>
  <si>
    <t xml:space="preserve">Mai 29</t>
  </si>
  <si>
    <t xml:space="preserve">Ata + proximo passo acordado (whitepaper + evento)</t>
  </si>
  <si>
    <t xml:space="preserve">T-209</t>
  </si>
  <si>
    <t xml:space="preserve">Suzely: analise fairness do 1o batch de matches</t>
  </si>
  <si>
    <t xml:space="preserve">VP Impacto</t>
  </si>
  <si>
    <t xml:space="preserve">Fairness audit report publicado</t>
  </si>
  <si>
    <t xml:space="preserve">T-210</t>
  </si>
  <si>
    <t xml:space="preserve">Reuniao 1a com Universidade (UFRJ ou UFMG pilot)</t>
  </si>
  <si>
    <t xml:space="preserve">CEO + bs-territory-lead</t>
  </si>
  <si>
    <t xml:space="preserve">Mai 30</t>
  </si>
  <si>
    <t xml:space="preserve">MoU draft enviado</t>
  </si>
  <si>
    <t xml:space="preserve">T-211</t>
  </si>
  <si>
    <t xml:space="preserve">Setup evento Launch Publico (Jul 25) — save-the-date</t>
  </si>
  <si>
    <t xml:space="preserve">CMO</t>
  </si>
  <si>
    <t xml:space="preserve">Mai 31</t>
  </si>
  <si>
    <t xml:space="preserve">Landing /evento + 50 RSVP iniciais</t>
  </si>
  <si>
    <t xml:space="preserve">T-212</t>
  </si>
  <si>
    <t xml:space="preserve">Retro Sprint 1 + ajustes Sprint 2</t>
  </si>
  <si>
    <t xml:space="preserve">Velocity medida; riscos mapeados</t>
  </si>
  <si>
    <t xml:space="preserve">SPRINT 2 — ENTREGA PILOT + 2o DEAL (Jun 1-14, 2026)</t>
  </si>
  <si>
    <t xml:space="preserve">Objetivo: entregar 1o Pilot com NPS &gt;=8 + 2o Pilot em negociacao + primeiro evento B2G</t>
  </si>
  <si>
    <t xml:space="preserve">T-300</t>
  </si>
  <si>
    <t xml:space="preserve">Pilot Semana 2: analise + draft relatorio</t>
  </si>
  <si>
    <t xml:space="preserve">Jun 3</t>
  </si>
  <si>
    <t xml:space="preserve">Draft parcial aprovado pelo sponsor</t>
  </si>
  <si>
    <t xml:space="preserve">T-301</t>
  </si>
  <si>
    <t xml:space="preserve">Pilot Semana 3: relatorio final + apresentacao</t>
  </si>
  <si>
    <t xml:space="preserve">Squad + Coord + VP Impacto</t>
  </si>
  <si>
    <t xml:space="preserve">Jun 10</t>
  </si>
  <si>
    <t xml:space="preserve">Relatorio PDF 20-40p white-label entregue</t>
  </si>
  <si>
    <t xml:space="preserve">T-302</t>
  </si>
  <si>
    <t xml:space="preserve">Apresentacao executiva 1o Pilot + upsell Managed</t>
  </si>
  <si>
    <t xml:space="preserve">CEO + Squad Coord</t>
  </si>
  <si>
    <t xml:space="preserve">Jun 11</t>
  </si>
  <si>
    <t xml:space="preserve">Proposta Managed enviada no dia da apresentacao</t>
  </si>
  <si>
    <t xml:space="preserve">T-303</t>
  </si>
  <si>
    <t xml:space="preserve">Pagamento 50% final recebido</t>
  </si>
  <si>
    <t xml:space="preserve">CFO + CRO</t>
  </si>
  <si>
    <t xml:space="preserve">Jun 14</t>
  </si>
  <si>
    <t xml:space="preserve">NF emitida + conciliacao bancaria</t>
  </si>
  <si>
    <t xml:space="preserve">T-304</t>
  </si>
  <si>
    <t xml:space="preserve">NPS + depoimento do sponsor</t>
  </si>
  <si>
    <t xml:space="preserve">NPS coletado; autorizacao de case</t>
  </si>
  <si>
    <t xml:space="preserve">T-305</t>
  </si>
  <si>
    <t xml:space="preserve">Transformar 1o Pilot em case (draft 1-2p)</t>
  </si>
  <si>
    <t xml:space="preserve">Draft aprovado pelo juridico do cliente</t>
  </si>
  <si>
    <t xml:space="preserve">T-306</t>
  </si>
  <si>
    <t xml:space="preserve">Qualificar + fechar 2o Pilot (pipeline de Maio)</t>
  </si>
  <si>
    <t xml:space="preserve">Jun 12</t>
  </si>
  <si>
    <t xml:space="preserve">Contrato 2 assinado</t>
  </si>
  <si>
    <t xml:space="preserve">T-307</t>
  </si>
  <si>
    <t xml:space="preserve">Evento piloto 1a Prefeitura (seminario ODS gratuito)</t>
  </si>
  <si>
    <t xml:space="preserve">bs-b2g-sales + VP Impacto</t>
  </si>
  <si>
    <t xml:space="preserve">Jun 13</t>
  </si>
  <si>
    <t xml:space="preserve">40+ servidores presentes; 3 secretarias</t>
  </si>
  <si>
    <t xml:space="preserve">T-308</t>
  </si>
  <si>
    <t xml:space="preserve">Proposta tecnica formal 1a Prefeitura (pos-evento)</t>
  </si>
  <si>
    <t xml:space="preserve">Documento 15p + planilha orcamentaria entregues</t>
  </si>
  <si>
    <t xml:space="preserve">T-309</t>
  </si>
  <si>
    <t xml:space="preserve">MOU 1a Universidade assinado</t>
  </si>
  <si>
    <t xml:space="preserve">Brener + Territory Lead</t>
  </si>
  <si>
    <t xml:space="preserve">MOU com pro-reitoria de extensao</t>
  </si>
  <si>
    <t xml:space="preserve">T-310</t>
  </si>
  <si>
    <t xml:space="preserve">Webinar 2 (ESG para prefeituras)</t>
  </si>
  <si>
    <t xml:space="preserve">VP Impacto + bs-b2g-sales</t>
  </si>
  <si>
    <t xml:space="preserve">100+ inscritos; 50+ presentes</t>
  </si>
  <si>
    <t xml:space="preserve">T-311</t>
  </si>
  <si>
    <t xml:space="preserve">Publicar 3 artigos SEO semana 5-6</t>
  </si>
  <si>
    <t xml:space="preserve">Total 6 artigos no blog; ranqueando long-tail</t>
  </si>
  <si>
    <t xml:space="preserve">T-312</t>
  </si>
  <si>
    <t xml:space="preserve">1a versao deck pitch investidor (10 slides)</t>
  </si>
  <si>
    <t xml:space="preserve">CEO + bs-investor-relations</t>
  </si>
  <si>
    <t xml:space="preserve">Deck pronto para 1a conversa</t>
  </si>
  <si>
    <t xml:space="preserve">T-313</t>
  </si>
  <si>
    <t xml:space="preserve">Retro + ajuste Sprint 3</t>
  </si>
  <si>
    <t xml:space="preserve">Velocity + riscos</t>
  </si>
  <si>
    <t xml:space="preserve">SPRINT 3 — ESCALAR PIPELINE + INVESTIDOR (Jun 15-30, 2026)</t>
  </si>
  <si>
    <t xml:space="preserve">Objetivo: 3 Pilots em pipeline + 1 contrato B2G em negociacao + 5 conversas com investidor</t>
  </si>
  <si>
    <t xml:space="preserve">T-400</t>
  </si>
  <si>
    <t xml:space="preserve">Publicar case 1o Pilot em /cases + LinkedIn + newsletter</t>
  </si>
  <si>
    <t xml:space="preserve">Jun 17</t>
  </si>
  <si>
    <t xml:space="preserve">Case live + 500+ LinkedIn engajamento</t>
  </si>
  <si>
    <t xml:space="preserve">T-401</t>
  </si>
  <si>
    <t xml:space="preserve">Iniciar entrega 2o Pilot</t>
  </si>
  <si>
    <t xml:space="preserve">Jun 18</t>
  </si>
  <si>
    <t xml:space="preserve">Kickoff + brief + plano semana 1</t>
  </si>
  <si>
    <t xml:space="preserve">T-402</t>
  </si>
  <si>
    <t xml:space="preserve">Outreach 3a rodada B2B (80 empresas)</t>
  </si>
  <si>
    <t xml:space="preserve">Jun 22</t>
  </si>
  <si>
    <t xml:space="preserve">15 reunioes qualificadas</t>
  </si>
  <si>
    <t xml:space="preserve">T-403</t>
  </si>
  <si>
    <t xml:space="preserve">Qualificar 2 leads B2G adicionais (SP interior)</t>
  </si>
  <si>
    <t xml:space="preserve">2 municipios em conversa formal</t>
  </si>
  <si>
    <t xml:space="preserve">T-404</t>
  </si>
  <si>
    <t xml:space="preserve">Evento piloto 2a Prefeitura</t>
  </si>
  <si>
    <t xml:space="preserve">Jun 24</t>
  </si>
  <si>
    <t xml:space="preserve">30+ servidores presentes</t>
  </si>
  <si>
    <t xml:space="preserve">T-405</t>
  </si>
  <si>
    <t xml:space="preserve">Negociar 1o contrato B2G (dispensa R$ 50k ou convenio)</t>
  </si>
  <si>
    <t xml:space="preserve">CRO + bs-b2g-sales</t>
  </si>
  <si>
    <t xml:space="preserve">Jun 26</t>
  </si>
  <si>
    <t xml:space="preserve">Minuta em revisao juridica</t>
  </si>
  <si>
    <t xml:space="preserve">T-406</t>
  </si>
  <si>
    <t xml:space="preserve">Ativar 2o MOU universidade (starter R$ 10k)</t>
  </si>
  <si>
    <t xml:space="preserve">bs-territory-lead</t>
  </si>
  <si>
    <t xml:space="preserve">Jun 27</t>
  </si>
  <si>
    <t xml:space="preserve">2 IES com programa ativo</t>
  </si>
  <si>
    <t xml:space="preserve">T-407</t>
  </si>
  <si>
    <t xml:space="preserve">Deck investidor v2 (30 slides + anexos)</t>
  </si>
  <si>
    <t xml:space="preserve">Data room inicial montado</t>
  </si>
  <si>
    <t xml:space="preserve">T-408</t>
  </si>
  <si>
    <t xml:space="preserve">5 reunioes com fundos de impacto (Vox, MOV, Positive)</t>
  </si>
  <si>
    <t xml:space="preserve">CEO</t>
  </si>
  <si>
    <t xml:space="preserve">Jun 30</t>
  </si>
  <si>
    <t xml:space="preserve">5 1st meetings + feedbacks</t>
  </si>
  <si>
    <t xml:space="preserve">T-409</t>
  </si>
  <si>
    <t xml:space="preserve">5 reunioes com VC generalista (Canary, Redpoint, etc)</t>
  </si>
  <si>
    <t xml:space="preserve">5 1st meetings; pelo menos 1 2nd</t>
  </si>
  <si>
    <t xml:space="preserve">T-410</t>
  </si>
  <si>
    <t xml:space="preserve">Recrutar advisor ESG-VC (1 nome forte)</t>
  </si>
  <si>
    <t xml:space="preserve">CEO + board</t>
  </si>
  <si>
    <t xml:space="preserve">1 advisor assinado com equity 0.25-0.5%</t>
  </si>
  <si>
    <t xml:space="preserve">T-411</t>
  </si>
  <si>
    <t xml:space="preserve">Expandir talent supply: 200 cadastrados no total</t>
  </si>
  <si>
    <t xml:space="preserve">bs-squad-coordinator + Growth</t>
  </si>
  <si>
    <t xml:space="preserve">200 perfis; 80 completos</t>
  </si>
  <si>
    <t xml:space="preserve">T-412</t>
  </si>
  <si>
    <t xml:space="preserve">3 artigos SEO + webinar 3 (HUB territorial)</t>
  </si>
  <si>
    <t xml:space="preserve">9 artigos no blog; 3 webinars realizados</t>
  </si>
  <si>
    <t xml:space="preserve">T-413</t>
  </si>
  <si>
    <t xml:space="preserve">Ritual Board mensal (V1 reporting)</t>
  </si>
  <si>
    <t xml:space="preserve">COO</t>
  </si>
  <si>
    <t xml:space="preserve">Dashboard compartilhado com Board</t>
  </si>
  <si>
    <t xml:space="preserve">T-414</t>
  </si>
  <si>
    <t xml:space="preserve">Retro Sprint 3 + ajuste Sprint 4</t>
  </si>
  <si>
    <t xml:space="preserve">SPRINT 4-5 — EXPANSAO + PREPARAR LAUNCH (Jul 1-24, 2026)</t>
  </si>
  <si>
    <t xml:space="preserve">Objetivo: 3o Pilot + 1o contrato B2G assinado + evento publico + term sheet em negociacao</t>
  </si>
  <si>
    <t xml:space="preserve">T-500</t>
  </si>
  <si>
    <t xml:space="preserve">Fechar 3o Pilot (R$ 18-22k)</t>
  </si>
  <si>
    <t xml:space="preserve">Jul 5</t>
  </si>
  <si>
    <t xml:space="preserve">Contrato 3 assinado</t>
  </si>
  <si>
    <t xml:space="preserve">T-501</t>
  </si>
  <si>
    <t xml:space="preserve">Entregar 2o Pilot (relatorio final + upsell)</t>
  </si>
  <si>
    <t xml:space="preserve">Jul 8</t>
  </si>
  <si>
    <t xml:space="preserve">Relatorio entregue; NPS coletado</t>
  </si>
  <si>
    <t xml:space="preserve">T-502</t>
  </si>
  <si>
    <t xml:space="preserve">Assinar 1o contrato B2G (Prefeitura)</t>
  </si>
  <si>
    <t xml:space="preserve">Jul 10</t>
  </si>
  <si>
    <t xml:space="preserve">Contrato publicado no DOM</t>
  </si>
  <si>
    <t xml:space="preserve">T-503</t>
  </si>
  <si>
    <t xml:space="preserve">Iniciar execucao Programa Municipal ODS (kickoff)</t>
  </si>
  <si>
    <t xml:space="preserve">VP Impacto + Squad</t>
  </si>
  <si>
    <t xml:space="preserve">Jul 12</t>
  </si>
  <si>
    <t xml:space="preserve">Kickoff + squad alocado</t>
  </si>
  <si>
    <t xml:space="preserve">T-504</t>
  </si>
  <si>
    <t xml:space="preserve">Seguimento conversas investidor (20 reunioes adicionais)</t>
  </si>
  <si>
    <t xml:space="preserve">CEO + IR</t>
  </si>
  <si>
    <t xml:space="preserve">Jul 20</t>
  </si>
  <si>
    <t xml:space="preserve">T-408,T-409</t>
  </si>
  <si>
    <t xml:space="preserve">2 due diligence iniciais abertas</t>
  </si>
  <si>
    <t xml:space="preserve">T-505</t>
  </si>
  <si>
    <t xml:space="preserve">Preparar evento publico Launch (Jul 25)</t>
  </si>
  <si>
    <t xml:space="preserve">CMO + CEO</t>
  </si>
  <si>
    <t xml:space="preserve">Jul 22</t>
  </si>
  <si>
    <t xml:space="preserve">200 RSVPs; pauta; palestrantes; streaming</t>
  </si>
  <si>
    <t xml:space="preserve">T-506</t>
  </si>
  <si>
    <t xml:space="preserve">Press kit + outreach imprensa (Valor, Exame, Folha)</t>
  </si>
  <si>
    <t xml:space="preserve">5 journalistas contactados; 1 entrevista agendada</t>
  </si>
  <si>
    <t xml:space="preserve">T-507</t>
  </si>
  <si>
    <t xml:space="preserve">Campanha paga LinkedIn Ads (R$ 5-10k budget)</t>
  </si>
  <si>
    <t xml:space="preserve">Jul 15</t>
  </si>
  <si>
    <t xml:space="preserve">Campanha ativa; CPL medido</t>
  </si>
  <si>
    <t xml:space="preserve">T-508</t>
  </si>
  <si>
    <t xml:space="preserve">Suzely v2.1: pgvector indexes + benchmark</t>
  </si>
  <si>
    <t xml:space="preserve">Latencia p95 &lt;200ms com 200+ talentos</t>
  </si>
  <si>
    <t xml:space="preserve">T-509</t>
  </si>
  <si>
    <t xml:space="preserve">Dashboard de impacto (VP Impacto public page)</t>
  </si>
  <si>
    <t xml:space="preserve">AI-Dev-Senior + VP</t>
  </si>
  <si>
    <t xml:space="preserve">Pagina publica /impacto com metricas</t>
  </si>
  <si>
    <t xml:space="preserve">T-510</t>
  </si>
  <si>
    <t xml:space="preserve">Processo de hiring: pipeline para CTO + SDR</t>
  </si>
  <si>
    <t xml:space="preserve">CEO + COO</t>
  </si>
  <si>
    <t xml:space="preserve">5 candidatos CTO; 3 SDR em processo</t>
  </si>
  <si>
    <t xml:space="preserve">T-511</t>
  </si>
  <si>
    <t xml:space="preserve">Expandir supply: 500 cadastrados (Ano 1 alcancado)</t>
  </si>
  <si>
    <t xml:space="preserve">Growth + Squad Coord</t>
  </si>
  <si>
    <t xml:space="preserve">Jul 24</t>
  </si>
  <si>
    <t xml:space="preserve">500 perfis; 180 completos</t>
  </si>
  <si>
    <t xml:space="preserve">T-512</t>
  </si>
  <si>
    <t xml:space="preserve">Retro consolidada 90 dias + playbook Q3</t>
  </si>
  <si>
    <t xml:space="preserve">Documentos + OKRs Q3 aprovados</t>
  </si>
  <si>
    <t xml:space="preserve">METRICAS SEMANAIS — REVIEW SEXTAS 16h (Apr 26 → Jul 26)</t>
  </si>
  <si>
    <t xml:space="preserve">Metrica</t>
  </si>
  <si>
    <t xml:space="preserve">S-1</t>
  </si>
  <si>
    <t xml:space="preserve">S0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</si>
  <si>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</si>
  <si>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</si>
  <si>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</si>
  <si>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</si>
  <si>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</si>
  <si>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</si>
  <si>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</si>
  <si>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</si>
  <si>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</si>
  <si>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</si>
  <si>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</si>
  <si>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</si>
  <si>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Visitas site/sem</t>
  </si>
  <si>
    <t xml:space="preserve">MQL/sem (form submitted)</t>
  </si>
  <si>
    <t xml:space="preserve">SQL/sem (BANT qualificado)</t>
  </si>
  <si>
    <t xml:space="preserve">Pilots fechados (acumulado)</t>
  </si>
  <si>
    <t xml:space="preserve">Pipeline B2B (R$ em SQL)</t>
  </si>
  <si>
    <t xml:space="preserve">Municipios em conversa B2G</t>
  </si>
  <si>
    <t xml:space="preserve">MOUs universidade ativos</t>
  </si>
  <si>
    <t xml:space="preserve">Talentos cadastrados (acumulado)</t>
  </si>
  <si>
    <t xml:space="preserve">LinkedIn seguidores (founder)</t>
  </si>
  <si>
    <t xml:space="preserve">Squads ativos</t>
  </si>
  <si>
    <t xml:space="preserve">NPS medio clientes</t>
  </si>
  <si>
    <t xml:space="preserve">Reunioes investidor (acumulado)</t>
  </si>
  <si>
    <t xml:space="preserve">Esforco time (h/sem)</t>
  </si>
  <si>
    <t xml:space="preserve">UNIT ECONOMICS — MODELO REALISTA (Ano 1 — Q2/Q3 2026)</t>
  </si>
  <si>
    <t xml:space="preserve">Ticket medio</t>
  </si>
  <si>
    <t xml:space="preserve">Custo direto</t>
  </si>
  <si>
    <t xml:space="preserve">Margem bruta</t>
  </si>
  <si>
    <t xml:space="preserve">Margem %</t>
  </si>
  <si>
    <t xml:space="preserve">Pilot Project (4 sem)</t>
  </si>
  <si>
    <t xml:space="preserve">Managed Squad (mensal)</t>
  </si>
  <si>
    <t xml:space="preserve">Programa Municipal ODS (anual)</t>
  </si>
  <si>
    <t xml:space="preserve">University Partner (semestral)</t>
  </si>
  <si>
    <t xml:space="preserve">HUB Matriz (anual)</t>
  </si>
  <si>
    <t xml:space="preserve">CAC + LTV BLENDED (Ano 1)</t>
  </si>
  <si>
    <t xml:space="preserve">Item</t>
  </si>
  <si>
    <t xml:space="preserve">B2B (Pilot+Managed)</t>
  </si>
  <si>
    <t xml:space="preserve">B2G (Programa)</t>
  </si>
  <si>
    <t xml:space="preserve">University Partner</t>
  </si>
  <si>
    <t xml:space="preserve">Blended</t>
  </si>
  <si>
    <t xml:space="preserve">CAC estimado (R$)</t>
  </si>
  <si>
    <t xml:space="preserve">LTV estimado (R$)</t>
  </si>
  <si>
    <t xml:space="preserve">LTV/CAC</t>
  </si>
  <si>
    <t xml:space="preserve">Payback (meses)</t>
  </si>
  <si>
    <t xml:space="preserve">Ciclo vendas (meses)</t>
  </si>
  <si>
    <t xml:space="preserve">ARR META 12 MESES</t>
  </si>
  <si>
    <t xml:space="preserve">SKU</t>
  </si>
  <si>
    <t xml:space="preserve">Quantidade</t>
  </si>
  <si>
    <t xml:space="preserve">Receita (R$)</t>
  </si>
  <si>
    <t xml:space="preserve">% total</t>
  </si>
  <si>
    <t xml:space="preserve">Pilot Projects (ticket 20k)</t>
  </si>
  <si>
    <t xml:space="preserve">Managed Squads (ARR)</t>
  </si>
  <si>
    <t xml:space="preserve">Programa Municipal ODS</t>
  </si>
  <si>
    <t xml:space="preserve">HUB Matriz corporate</t>
  </si>
  <si>
    <t xml:space="preserve">TOTAL ARR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</si>
</sst>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R$ &quot;#,##0;&quot;-R$ &quot;#,##0;\-"/>
    <numFmt numFmtId="166" formatCode="&quot;R$ &quot;#,##0"/>
    <numFmt numFmtId="167" formatCode="0.0%"/>
    <numFmt numFmtId="168" formatCode="0.0\x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FF4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50505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0047FF"/>
      <name val="Arial"/>
      <family val="0"/>
      <charset val="1"/>
    </font>
    <font>
      <b val="true"/>
      <sz val="14"/>
      <color rgb="FF00FF41"/>
      <name val="Arial"/>
      <family val="0"/>
      <charset val="1"/>
    </font>
    <font>
      <i val="true"/>
      <sz val="10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47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1"/>
      <color rgb="FF050505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50505"/>
        <bgColor rgb="FF000000"/>
      </patternFill>
    </fill>
    <fill>
      <patternFill patternType="solid">
        <fgColor rgb="FF00FF41"/>
        <bgColor rgb="FF00FFFF"/>
      </patternFill>
    </fill>
    <fill>
      <patternFill patternType="solid">
        <fgColor rgb="FFFF4444"/>
        <bgColor rgb="FFFF8080"/>
      </patternFill>
    </fill>
    <fill>
      <patternFill patternType="solid">
        <fgColor rgb="FFFFD700"/>
        <bgColor rgb="FFFFFF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2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41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47FF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700"/>
      <rgbColor rgb="FFFF9900"/>
      <rgbColor rgb="FFFF4444"/>
      <rgbColor rgb="FF666699"/>
      <rgbColor rgb="FF969696"/>
      <rgbColor rgb="FF003366"/>
      <rgbColor rgb="FF339966"/>
      <rgbColor rgb="FF050505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30"/>
    <col collapsed="false" customWidth="true" hidden="false" outlineLevel="0" max="5" min="5" style="0" width="24"/>
    <col collapsed="false" customWidth="true" hidden="false" outlineLevel="0" max="6" min="6" style="0" width="3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45" hidden="false" customHeight="true" outlineLevel="0" collapsed="false">
      <c r="A4" s="3" t="s">
        <v>7</v>
      </c>
      <c r="B4" s="4" t="s">
        <v>8</v>
      </c>
      <c r="C4" s="4" t="s">
        <v>9</v>
      </c>
      <c r="D4" s="4" t="s">
        <v>10</v>
      </c>
      <c r="E4" s="4" t="s">
        <v>11</v>
      </c>
      <c r="F4" s="4" t="s">
        <v>12</v>
      </c>
    </row>
    <row r="5" customFormat="false" ht="45" hidden="false" customHeight="true" outlineLevel="0" collapsed="false">
      <c r="A5" s="3" t="s">
        <v>13</v>
      </c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</row>
    <row r="6" customFormat="false" ht="45" hidden="false" customHeight="true" outlineLevel="0" collapsed="false">
      <c r="A6" s="3" t="s">
        <v>19</v>
      </c>
      <c r="B6" s="4" t="s">
        <v>20</v>
      </c>
      <c r="C6" s="4" t="s">
        <v>21</v>
      </c>
      <c r="D6" s="4" t="s">
        <v>22</v>
      </c>
      <c r="E6" s="4" t="s">
        <v>23</v>
      </c>
      <c r="F6" s="4" t="s">
        <v>24</v>
      </c>
    </row>
    <row r="7" customFormat="false" ht="45" hidden="false" customHeight="true" outlineLevel="0" collapsed="false">
      <c r="A7" s="3" t="s">
        <v>25</v>
      </c>
      <c r="B7" s="4" t="s">
        <v>26</v>
      </c>
      <c r="C7" s="4" t="s">
        <v>27</v>
      </c>
      <c r="D7" s="4" t="s">
        <v>28</v>
      </c>
      <c r="E7" s="4" t="s">
        <v>29</v>
      </c>
      <c r="F7" s="4" t="s">
        <v>30</v>
      </c>
    </row>
    <row r="8" customFormat="false" ht="45" hidden="false" customHeight="true" outlineLevel="0" collapsed="false">
      <c r="A8" s="3" t="s">
        <v>31</v>
      </c>
      <c r="B8" s="4" t="s">
        <v>32</v>
      </c>
      <c r="C8" s="4" t="s">
        <v>33</v>
      </c>
      <c r="D8" s="4" t="s">
        <v>34</v>
      </c>
      <c r="E8" s="4" t="s">
        <v>35</v>
      </c>
      <c r="F8" s="4" t="s">
        <v>36</v>
      </c>
    </row>
    <row r="11" customFormat="false" ht="15" hidden="false" customHeight="false" outlineLevel="0" collapsed="false">
      <c r="A11" s="5" t="s">
        <v>37</v>
      </c>
      <c r="B11" s="5"/>
      <c r="C11" s="5"/>
      <c r="D11" s="5"/>
      <c r="E11" s="5"/>
      <c r="F11" s="5"/>
    </row>
    <row r="12" customFormat="false" ht="15" hidden="false" customHeight="false" outlineLevel="0" collapsed="false">
      <c r="A12" s="6" t="s">
        <v>38</v>
      </c>
      <c r="B12" s="6" t="s">
        <v>39</v>
      </c>
      <c r="C12" s="6" t="s">
        <v>40</v>
      </c>
      <c r="D12" s="6" t="s">
        <v>41</v>
      </c>
      <c r="E12" s="6"/>
      <c r="F12" s="6"/>
    </row>
    <row r="13" customFormat="false" ht="15" hidden="false" customHeight="true" outlineLevel="0" collapsed="false">
      <c r="A13" s="4" t="s">
        <v>42</v>
      </c>
      <c r="B13" s="4" t="s">
        <v>43</v>
      </c>
      <c r="C13" s="7" t="s">
        <v>44</v>
      </c>
      <c r="D13" s="4" t="s">
        <v>45</v>
      </c>
      <c r="E13" s="4"/>
      <c r="F13" s="4"/>
    </row>
    <row r="14" customFormat="false" ht="35.05" hidden="false" customHeight="true" outlineLevel="0" collapsed="false">
      <c r="A14" s="4" t="s">
        <v>42</v>
      </c>
      <c r="B14" s="4" t="s">
        <v>46</v>
      </c>
      <c r="C14" s="7" t="s">
        <v>47</v>
      </c>
      <c r="D14" s="4" t="s">
        <v>48</v>
      </c>
      <c r="E14" s="4"/>
      <c r="F14" s="4"/>
    </row>
    <row r="15" customFormat="false" ht="35.05" hidden="false" customHeight="true" outlineLevel="0" collapsed="false">
      <c r="A15" s="4" t="s">
        <v>42</v>
      </c>
      <c r="B15" s="4" t="s">
        <v>49</v>
      </c>
      <c r="C15" s="7" t="s">
        <v>50</v>
      </c>
      <c r="D15" s="4" t="s">
        <v>51</v>
      </c>
      <c r="E15" s="4"/>
      <c r="F15" s="4"/>
    </row>
    <row r="16" customFormat="false" ht="23.85" hidden="false" customHeight="true" outlineLevel="0" collapsed="false">
      <c r="A16" s="4" t="s">
        <v>52</v>
      </c>
      <c r="B16" s="4" t="s">
        <v>53</v>
      </c>
      <c r="C16" s="7" t="s">
        <v>54</v>
      </c>
      <c r="D16" s="4" t="s">
        <v>55</v>
      </c>
      <c r="E16" s="4"/>
      <c r="F16" s="4"/>
    </row>
    <row r="17" customFormat="false" ht="23.85" hidden="false" customHeight="true" outlineLevel="0" collapsed="false">
      <c r="A17" s="4" t="s">
        <v>52</v>
      </c>
      <c r="B17" s="4" t="s">
        <v>56</v>
      </c>
      <c r="C17" s="7" t="s">
        <v>57</v>
      </c>
      <c r="D17" s="4" t="s">
        <v>58</v>
      </c>
      <c r="E17" s="4"/>
      <c r="F17" s="4"/>
    </row>
    <row r="18" customFormat="false" ht="15" hidden="false" customHeight="true" outlineLevel="0" collapsed="false">
      <c r="A18" s="4" t="s">
        <v>59</v>
      </c>
      <c r="B18" s="4" t="s">
        <v>60</v>
      </c>
      <c r="C18" s="7" t="s">
        <v>61</v>
      </c>
      <c r="D18" s="4" t="s">
        <v>62</v>
      </c>
      <c r="E18" s="4"/>
      <c r="F18" s="4"/>
    </row>
    <row r="19" customFormat="false" ht="23.85" hidden="false" customHeight="true" outlineLevel="0" collapsed="false">
      <c r="A19" s="4" t="s">
        <v>63</v>
      </c>
      <c r="B19" s="4" t="s">
        <v>64</v>
      </c>
      <c r="C19" s="7" t="s">
        <v>65</v>
      </c>
      <c r="D19" s="4" t="s">
        <v>66</v>
      </c>
      <c r="E19" s="4"/>
      <c r="F19" s="4"/>
    </row>
    <row r="20" customFormat="false" ht="23.85" hidden="false" customHeight="true" outlineLevel="0" collapsed="false">
      <c r="A20" s="4" t="s">
        <v>63</v>
      </c>
      <c r="B20" s="4" t="s">
        <v>67</v>
      </c>
      <c r="C20" s="7" t="s">
        <v>68</v>
      </c>
      <c r="D20" s="4" t="s">
        <v>69</v>
      </c>
      <c r="E20" s="4"/>
      <c r="F20" s="4"/>
    </row>
    <row r="21" customFormat="false" ht="23.85" hidden="false" customHeight="true" outlineLevel="0" collapsed="false">
      <c r="A21" s="4" t="s">
        <v>70</v>
      </c>
      <c r="B21" s="4" t="s">
        <v>71</v>
      </c>
      <c r="C21" s="7" t="s">
        <v>72</v>
      </c>
      <c r="D21" s="4" t="s">
        <v>73</v>
      </c>
      <c r="E21" s="4"/>
      <c r="F21" s="4"/>
    </row>
    <row r="22" customFormat="false" ht="23.85" hidden="false" customHeight="true" outlineLevel="0" collapsed="false">
      <c r="A22" s="4" t="s">
        <v>70</v>
      </c>
      <c r="B22" s="4" t="s">
        <v>74</v>
      </c>
      <c r="C22" s="7" t="s">
        <v>75</v>
      </c>
      <c r="D22" s="4" t="s">
        <v>76</v>
      </c>
      <c r="E22" s="4"/>
      <c r="F22" s="4"/>
    </row>
    <row r="23" customFormat="false" ht="23.85" hidden="false" customHeight="true" outlineLevel="0" collapsed="false">
      <c r="A23" s="4" t="s">
        <v>77</v>
      </c>
      <c r="B23" s="4" t="s">
        <v>78</v>
      </c>
      <c r="C23" s="7" t="s">
        <v>79</v>
      </c>
      <c r="D23" s="4" t="s">
        <v>80</v>
      </c>
      <c r="E23" s="4"/>
      <c r="F23" s="4"/>
    </row>
    <row r="24" customFormat="false" ht="15" hidden="false" customHeight="true" outlineLevel="0" collapsed="false">
      <c r="A24" s="4" t="s">
        <v>77</v>
      </c>
      <c r="B24" s="4" t="s">
        <v>81</v>
      </c>
      <c r="C24" s="7" t="s">
        <v>82</v>
      </c>
      <c r="D24" s="4" t="s">
        <v>83</v>
      </c>
      <c r="E24" s="4"/>
      <c r="F24" s="4"/>
    </row>
  </sheetData>
  <mergeCells count="15">
    <mergeCell ref="A1:F1"/>
    <mergeCell ref="A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6" min="4" style="0" width="10"/>
    <col collapsed="false" customWidth="true" hidden="false" outlineLevel="0" max="7" min="7" style="0" width="14"/>
    <col collapsed="false" customWidth="true" hidden="false" outlineLevel="0" max="8" min="8" style="0" width="38"/>
  </cols>
  <sheetData>
    <row r="1" customFormat="false" ht="24" hidden="false" customHeight="true" outlineLevel="0" collapsed="false">
      <c r="A1" s="8" t="s">
        <v>84</v>
      </c>
      <c r="B1" s="8"/>
      <c r="C1" s="8"/>
      <c r="D1" s="8"/>
      <c r="E1" s="8"/>
      <c r="F1" s="8"/>
      <c r="G1" s="8"/>
      <c r="H1" s="8"/>
    </row>
    <row r="2" customFormat="false" ht="15" hidden="false" customHeight="false" outlineLevel="0" collapsed="false">
      <c r="A2" s="9" t="s">
        <v>85</v>
      </c>
      <c r="B2" s="9"/>
      <c r="C2" s="9"/>
      <c r="D2" s="9"/>
      <c r="E2" s="9"/>
      <c r="F2" s="9"/>
      <c r="G2" s="9"/>
      <c r="H2" s="9"/>
    </row>
    <row r="4" customFormat="false" ht="26.85" hidden="false" customHeight="false" outlineLevel="0" collapsed="false">
      <c r="A4" s="10" t="s">
        <v>86</v>
      </c>
      <c r="B4" s="10" t="s">
        <v>87</v>
      </c>
      <c r="C4" s="10" t="s">
        <v>88</v>
      </c>
      <c r="D4" s="10" t="s">
        <v>89</v>
      </c>
      <c r="E4" s="10" t="s">
        <v>90</v>
      </c>
      <c r="F4" s="10" t="s">
        <v>91</v>
      </c>
      <c r="G4" s="10" t="s">
        <v>92</v>
      </c>
      <c r="H4" s="10" t="s">
        <v>93</v>
      </c>
    </row>
    <row r="5" customFormat="false" ht="31.5" hidden="false" customHeight="true" outlineLevel="0" collapsed="false">
      <c r="A5" s="11" t="s">
        <v>94</v>
      </c>
      <c r="B5" s="11" t="s">
        <v>95</v>
      </c>
      <c r="C5" s="11" t="s">
        <v>96</v>
      </c>
      <c r="D5" s="12" t="s">
        <v>97</v>
      </c>
      <c r="E5" s="11" t="s">
        <v>98</v>
      </c>
      <c r="F5" s="11" t="n">
        <v>4</v>
      </c>
      <c r="G5" s="11" t="s">
        <v>99</v>
      </c>
      <c r="H5" s="11" t="s">
        <v>100</v>
      </c>
    </row>
    <row r="6" customFormat="false" ht="31.5" hidden="false" customHeight="true" outlineLevel="0" collapsed="false">
      <c r="A6" s="11" t="s">
        <v>101</v>
      </c>
      <c r="B6" s="11" t="s">
        <v>102</v>
      </c>
      <c r="C6" s="11" t="s">
        <v>103</v>
      </c>
      <c r="D6" s="12" t="s">
        <v>97</v>
      </c>
      <c r="E6" s="11" t="s">
        <v>98</v>
      </c>
      <c r="F6" s="11" t="n">
        <v>2</v>
      </c>
      <c r="G6" s="11" t="s">
        <v>94</v>
      </c>
      <c r="H6" s="11" t="s">
        <v>104</v>
      </c>
    </row>
    <row r="7" customFormat="false" ht="31.5" hidden="false" customHeight="true" outlineLevel="0" collapsed="false">
      <c r="A7" s="11" t="s">
        <v>105</v>
      </c>
      <c r="B7" s="11" t="s">
        <v>106</v>
      </c>
      <c r="C7" s="11" t="s">
        <v>103</v>
      </c>
      <c r="D7" s="12" t="s">
        <v>97</v>
      </c>
      <c r="E7" s="11" t="s">
        <v>98</v>
      </c>
      <c r="F7" s="11" t="n">
        <v>1</v>
      </c>
      <c r="G7" s="11" t="s">
        <v>99</v>
      </c>
      <c r="H7" s="11" t="s">
        <v>107</v>
      </c>
    </row>
    <row r="8" customFormat="false" ht="31.5" hidden="false" customHeight="true" outlineLevel="0" collapsed="false">
      <c r="A8" s="11" t="s">
        <v>108</v>
      </c>
      <c r="B8" s="11" t="s">
        <v>109</v>
      </c>
      <c r="C8" s="11" t="s">
        <v>110</v>
      </c>
      <c r="D8" s="12" t="s">
        <v>97</v>
      </c>
      <c r="E8" s="11" t="s">
        <v>111</v>
      </c>
      <c r="F8" s="11" t="n">
        <v>16</v>
      </c>
      <c r="G8" s="11" t="s">
        <v>94</v>
      </c>
      <c r="H8" s="11" t="s">
        <v>112</v>
      </c>
    </row>
    <row r="9" customFormat="false" ht="31.5" hidden="false" customHeight="true" outlineLevel="0" collapsed="false">
      <c r="A9" s="11" t="s">
        <v>113</v>
      </c>
      <c r="B9" s="11" t="s">
        <v>114</v>
      </c>
      <c r="C9" s="11" t="s">
        <v>110</v>
      </c>
      <c r="D9" s="12" t="s">
        <v>97</v>
      </c>
      <c r="E9" s="11" t="s">
        <v>115</v>
      </c>
      <c r="F9" s="11" t="n">
        <v>6</v>
      </c>
      <c r="G9" s="11" t="s">
        <v>108</v>
      </c>
      <c r="H9" s="11" t="s">
        <v>116</v>
      </c>
    </row>
    <row r="10" customFormat="false" ht="31.5" hidden="false" customHeight="true" outlineLevel="0" collapsed="false">
      <c r="A10" s="11" t="s">
        <v>117</v>
      </c>
      <c r="B10" s="11" t="s">
        <v>118</v>
      </c>
      <c r="C10" s="11" t="s">
        <v>110</v>
      </c>
      <c r="D10" s="12" t="s">
        <v>97</v>
      </c>
      <c r="E10" s="11" t="s">
        <v>115</v>
      </c>
      <c r="F10" s="11" t="n">
        <v>4</v>
      </c>
      <c r="G10" s="11" t="s">
        <v>113</v>
      </c>
      <c r="H10" s="11" t="s">
        <v>119</v>
      </c>
    </row>
    <row r="11" customFormat="false" ht="31.5" hidden="false" customHeight="true" outlineLevel="0" collapsed="false">
      <c r="A11" s="11" t="s">
        <v>120</v>
      </c>
      <c r="B11" s="11" t="s">
        <v>121</v>
      </c>
      <c r="C11" s="11" t="s">
        <v>110</v>
      </c>
      <c r="D11" s="13" t="s">
        <v>122</v>
      </c>
      <c r="E11" s="11" t="s">
        <v>123</v>
      </c>
      <c r="F11" s="11" t="n">
        <v>4</v>
      </c>
      <c r="G11" s="11" t="s">
        <v>117</v>
      </c>
      <c r="H11" s="11" t="s">
        <v>124</v>
      </c>
    </row>
    <row r="12" customFormat="false" ht="31.5" hidden="false" customHeight="true" outlineLevel="0" collapsed="false">
      <c r="A12" s="11" t="s">
        <v>125</v>
      </c>
      <c r="B12" s="11" t="s">
        <v>126</v>
      </c>
      <c r="C12" s="11" t="s">
        <v>110</v>
      </c>
      <c r="D12" s="13" t="s">
        <v>122</v>
      </c>
      <c r="E12" s="11" t="s">
        <v>123</v>
      </c>
      <c r="F12" s="11" t="n">
        <v>4</v>
      </c>
      <c r="G12" s="11" t="s">
        <v>113</v>
      </c>
      <c r="H12" s="11" t="s">
        <v>127</v>
      </c>
    </row>
    <row r="13" customFormat="false" ht="31.5" hidden="false" customHeight="true" outlineLevel="0" collapsed="false">
      <c r="A13" s="11" t="s">
        <v>128</v>
      </c>
      <c r="B13" s="11" t="s">
        <v>129</v>
      </c>
      <c r="C13" s="11" t="s">
        <v>110</v>
      </c>
      <c r="D13" s="12" t="s">
        <v>97</v>
      </c>
      <c r="E13" s="11" t="s">
        <v>130</v>
      </c>
      <c r="F13" s="11" t="n">
        <v>3</v>
      </c>
      <c r="G13" s="11" t="s">
        <v>108</v>
      </c>
      <c r="H13" s="11" t="s">
        <v>131</v>
      </c>
    </row>
    <row r="14" customFormat="false" ht="31.5" hidden="false" customHeight="true" outlineLevel="0" collapsed="false">
      <c r="A14" s="11" t="s">
        <v>132</v>
      </c>
      <c r="B14" s="11" t="s">
        <v>133</v>
      </c>
      <c r="C14" s="11" t="s">
        <v>110</v>
      </c>
      <c r="D14" s="13" t="s">
        <v>122</v>
      </c>
      <c r="E14" s="11" t="s">
        <v>130</v>
      </c>
      <c r="F14" s="11" t="n">
        <v>2</v>
      </c>
      <c r="G14" s="11" t="s">
        <v>128</v>
      </c>
      <c r="H14" s="11" t="s">
        <v>134</v>
      </c>
    </row>
    <row r="15" customFormat="false" ht="31.5" hidden="false" customHeight="true" outlineLevel="0" collapsed="false">
      <c r="A15" s="11" t="s">
        <v>135</v>
      </c>
      <c r="B15" s="11" t="s">
        <v>136</v>
      </c>
      <c r="C15" s="11" t="s">
        <v>110</v>
      </c>
      <c r="D15" s="13" t="s">
        <v>122</v>
      </c>
      <c r="E15" s="11" t="s">
        <v>137</v>
      </c>
      <c r="F15" s="11" t="n">
        <v>4</v>
      </c>
      <c r="G15" s="11" t="s">
        <v>108</v>
      </c>
      <c r="H15" s="11" t="s">
        <v>138</v>
      </c>
    </row>
    <row r="16" customFormat="false" ht="31.5" hidden="false" customHeight="true" outlineLevel="0" collapsed="false">
      <c r="A16" s="11" t="s">
        <v>139</v>
      </c>
      <c r="B16" s="11" t="s">
        <v>140</v>
      </c>
      <c r="C16" s="11" t="s">
        <v>103</v>
      </c>
      <c r="D16" s="14" t="s">
        <v>141</v>
      </c>
      <c r="E16" s="11" t="s">
        <v>137</v>
      </c>
      <c r="F16" s="11" t="n">
        <v>2</v>
      </c>
      <c r="G16" s="11" t="s">
        <v>113</v>
      </c>
      <c r="H16" s="11" t="s">
        <v>142</v>
      </c>
    </row>
    <row r="17" customFormat="false" ht="31.5" hidden="false" customHeight="true" outlineLevel="0" collapsed="false">
      <c r="A17" s="11" t="s">
        <v>143</v>
      </c>
      <c r="B17" s="11" t="s">
        <v>144</v>
      </c>
      <c r="C17" s="11" t="s">
        <v>145</v>
      </c>
      <c r="D17" s="12" t="s">
        <v>97</v>
      </c>
      <c r="E17" s="11" t="s">
        <v>137</v>
      </c>
      <c r="F17" s="11" t="n">
        <v>4</v>
      </c>
      <c r="G17" s="11" t="s">
        <v>99</v>
      </c>
      <c r="H17" s="11" t="s">
        <v>146</v>
      </c>
    </row>
    <row r="18" customFormat="false" ht="31.5" hidden="false" customHeight="true" outlineLevel="0" collapsed="false">
      <c r="A18" s="11" t="s">
        <v>147</v>
      </c>
      <c r="B18" s="11" t="s">
        <v>148</v>
      </c>
      <c r="C18" s="11" t="s">
        <v>149</v>
      </c>
      <c r="D18" s="13" t="s">
        <v>122</v>
      </c>
      <c r="E18" s="11" t="s">
        <v>137</v>
      </c>
      <c r="F18" s="11" t="n">
        <v>2</v>
      </c>
      <c r="G18" s="11" t="s">
        <v>99</v>
      </c>
      <c r="H18" s="11" t="s">
        <v>150</v>
      </c>
    </row>
    <row r="20" customFormat="false" ht="15" hidden="false" customHeight="false" outlineLevel="0" collapsed="false">
      <c r="A20" s="15" t="s">
        <v>151</v>
      </c>
      <c r="F20" s="16" t="n">
        <f aca="false">SUM(F5:F18)</f>
        <v>58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6" min="4" style="0" width="10"/>
    <col collapsed="false" customWidth="true" hidden="false" outlineLevel="0" max="7" min="7" style="0" width="14"/>
    <col collapsed="false" customWidth="true" hidden="false" outlineLevel="0" max="8" min="8" style="0" width="38"/>
  </cols>
  <sheetData>
    <row r="1" customFormat="false" ht="24" hidden="false" customHeight="true" outlineLevel="0" collapsed="false">
      <c r="A1" s="8" t="s">
        <v>152</v>
      </c>
      <c r="B1" s="8"/>
      <c r="C1" s="8"/>
      <c r="D1" s="8"/>
      <c r="E1" s="8"/>
      <c r="F1" s="8"/>
      <c r="G1" s="8"/>
      <c r="H1" s="8"/>
    </row>
    <row r="2" customFormat="false" ht="15" hidden="false" customHeight="false" outlineLevel="0" collapsed="false">
      <c r="A2" s="9" t="s">
        <v>153</v>
      </c>
      <c r="B2" s="9"/>
      <c r="C2" s="9"/>
      <c r="D2" s="9"/>
      <c r="E2" s="9"/>
      <c r="F2" s="9"/>
      <c r="G2" s="9"/>
      <c r="H2" s="9"/>
    </row>
    <row r="4" customFormat="false" ht="26.85" hidden="false" customHeight="false" outlineLevel="0" collapsed="false">
      <c r="A4" s="10" t="s">
        <v>86</v>
      </c>
      <c r="B4" s="10" t="s">
        <v>87</v>
      </c>
      <c r="C4" s="10" t="s">
        <v>88</v>
      </c>
      <c r="D4" s="10" t="s">
        <v>89</v>
      </c>
      <c r="E4" s="10" t="s">
        <v>90</v>
      </c>
      <c r="F4" s="10" t="s">
        <v>91</v>
      </c>
      <c r="G4" s="10" t="s">
        <v>92</v>
      </c>
      <c r="H4" s="10" t="s">
        <v>93</v>
      </c>
    </row>
    <row r="5" customFormat="false" ht="31.5" hidden="false" customHeight="true" outlineLevel="0" collapsed="false">
      <c r="A5" s="11" t="s">
        <v>154</v>
      </c>
      <c r="B5" s="11" t="s">
        <v>155</v>
      </c>
      <c r="C5" s="11" t="s">
        <v>156</v>
      </c>
      <c r="D5" s="12" t="s">
        <v>97</v>
      </c>
      <c r="E5" s="11" t="s">
        <v>157</v>
      </c>
      <c r="F5" s="11" t="n">
        <v>12</v>
      </c>
      <c r="G5" s="11" t="s">
        <v>9</v>
      </c>
      <c r="H5" s="11" t="s">
        <v>158</v>
      </c>
    </row>
    <row r="6" customFormat="false" ht="31.5" hidden="false" customHeight="true" outlineLevel="0" collapsed="false">
      <c r="A6" s="11" t="s">
        <v>159</v>
      </c>
      <c r="B6" s="11" t="s">
        <v>160</v>
      </c>
      <c r="C6" s="11" t="s">
        <v>161</v>
      </c>
      <c r="D6" s="12" t="s">
        <v>97</v>
      </c>
      <c r="E6" s="11" t="s">
        <v>162</v>
      </c>
      <c r="F6" s="11" t="n">
        <v>16</v>
      </c>
      <c r="G6" s="11" t="s">
        <v>9</v>
      </c>
      <c r="H6" s="11" t="s">
        <v>163</v>
      </c>
    </row>
    <row r="7" customFormat="false" ht="31.5" hidden="false" customHeight="true" outlineLevel="0" collapsed="false">
      <c r="A7" s="11" t="s">
        <v>164</v>
      </c>
      <c r="B7" s="11" t="s">
        <v>165</v>
      </c>
      <c r="C7" s="11" t="s">
        <v>166</v>
      </c>
      <c r="D7" s="12" t="s">
        <v>97</v>
      </c>
      <c r="E7" s="11" t="s">
        <v>162</v>
      </c>
      <c r="F7" s="11" t="n">
        <v>10</v>
      </c>
      <c r="G7" s="11" t="s">
        <v>9</v>
      </c>
      <c r="H7" s="11" t="s">
        <v>167</v>
      </c>
    </row>
    <row r="8" customFormat="false" ht="31.5" hidden="false" customHeight="true" outlineLevel="0" collapsed="false">
      <c r="A8" s="11" t="s">
        <v>168</v>
      </c>
      <c r="B8" s="11" t="s">
        <v>169</v>
      </c>
      <c r="C8" s="11" t="s">
        <v>110</v>
      </c>
      <c r="D8" s="13" t="s">
        <v>122</v>
      </c>
      <c r="E8" s="11" t="s">
        <v>170</v>
      </c>
      <c r="F8" s="11" t="n">
        <v>8</v>
      </c>
      <c r="G8" s="11" t="s">
        <v>154</v>
      </c>
      <c r="H8" s="11" t="s">
        <v>171</v>
      </c>
    </row>
    <row r="9" customFormat="false" ht="31.5" hidden="false" customHeight="true" outlineLevel="0" collapsed="false">
      <c r="A9" s="11" t="s">
        <v>172</v>
      </c>
      <c r="B9" s="11" t="s">
        <v>173</v>
      </c>
      <c r="C9" s="11" t="s">
        <v>110</v>
      </c>
      <c r="D9" s="13" t="s">
        <v>122</v>
      </c>
      <c r="E9" s="11" t="s">
        <v>170</v>
      </c>
      <c r="F9" s="11" t="n">
        <v>4</v>
      </c>
      <c r="G9" s="11" t="s">
        <v>168</v>
      </c>
      <c r="H9" s="11" t="s">
        <v>174</v>
      </c>
    </row>
    <row r="10" customFormat="false" ht="31.5" hidden="false" customHeight="true" outlineLevel="0" collapsed="false">
      <c r="A10" s="11" t="s">
        <v>175</v>
      </c>
      <c r="B10" s="11" t="s">
        <v>176</v>
      </c>
      <c r="C10" s="11" t="s">
        <v>177</v>
      </c>
      <c r="D10" s="13" t="s">
        <v>122</v>
      </c>
      <c r="E10" s="11" t="s">
        <v>178</v>
      </c>
      <c r="F10" s="11" t="n">
        <v>20</v>
      </c>
      <c r="G10" s="11" t="s">
        <v>99</v>
      </c>
      <c r="H10" s="11" t="s">
        <v>179</v>
      </c>
    </row>
    <row r="11" customFormat="false" ht="31.5" hidden="false" customHeight="true" outlineLevel="0" collapsed="false">
      <c r="A11" s="11" t="s">
        <v>180</v>
      </c>
      <c r="B11" s="11" t="s">
        <v>181</v>
      </c>
      <c r="C11" s="11" t="s">
        <v>177</v>
      </c>
      <c r="D11" s="13" t="s">
        <v>122</v>
      </c>
      <c r="E11" s="11" t="s">
        <v>178</v>
      </c>
      <c r="F11" s="11" t="n">
        <v>16</v>
      </c>
      <c r="G11" s="11" t="s">
        <v>99</v>
      </c>
      <c r="H11" s="11" t="s">
        <v>182</v>
      </c>
    </row>
    <row r="12" customFormat="false" ht="31.5" hidden="false" customHeight="true" outlineLevel="0" collapsed="false">
      <c r="A12" s="11" t="s">
        <v>183</v>
      </c>
      <c r="B12" s="11" t="s">
        <v>184</v>
      </c>
      <c r="C12" s="11" t="s">
        <v>185</v>
      </c>
      <c r="D12" s="13" t="s">
        <v>122</v>
      </c>
      <c r="E12" s="11" t="s">
        <v>186</v>
      </c>
      <c r="F12" s="11" t="n">
        <v>6</v>
      </c>
      <c r="G12" s="11" t="s">
        <v>187</v>
      </c>
      <c r="H12" s="11" t="s">
        <v>188</v>
      </c>
    </row>
    <row r="13" customFormat="false" ht="31.5" hidden="false" customHeight="true" outlineLevel="0" collapsed="false">
      <c r="A13" s="11" t="s">
        <v>189</v>
      </c>
      <c r="B13" s="11" t="s">
        <v>190</v>
      </c>
      <c r="C13" s="11" t="s">
        <v>191</v>
      </c>
      <c r="D13" s="13" t="s">
        <v>122</v>
      </c>
      <c r="E13" s="11" t="s">
        <v>186</v>
      </c>
      <c r="F13" s="11" t="n">
        <v>4</v>
      </c>
      <c r="G13" s="11" t="s">
        <v>99</v>
      </c>
      <c r="H13" s="11" t="s">
        <v>192</v>
      </c>
    </row>
    <row r="14" customFormat="false" ht="31.5" hidden="false" customHeight="true" outlineLevel="0" collapsed="false">
      <c r="A14" s="11" t="s">
        <v>193</v>
      </c>
      <c r="B14" s="11" t="s">
        <v>194</v>
      </c>
      <c r="C14" s="11" t="s">
        <v>195</v>
      </c>
      <c r="D14" s="13" t="s">
        <v>122</v>
      </c>
      <c r="E14" s="11" t="s">
        <v>196</v>
      </c>
      <c r="F14" s="11" t="n">
        <v>10</v>
      </c>
      <c r="G14" s="11" t="s">
        <v>99</v>
      </c>
      <c r="H14" s="11" t="s">
        <v>197</v>
      </c>
    </row>
    <row r="15" customFormat="false" ht="31.5" hidden="false" customHeight="true" outlineLevel="0" collapsed="false">
      <c r="A15" s="11" t="s">
        <v>198</v>
      </c>
      <c r="B15" s="11" t="s">
        <v>199</v>
      </c>
      <c r="C15" s="11" t="s">
        <v>200</v>
      </c>
      <c r="D15" s="13" t="s">
        <v>122</v>
      </c>
      <c r="E15" s="11" t="s">
        <v>196</v>
      </c>
      <c r="F15" s="11" t="n">
        <v>6</v>
      </c>
      <c r="G15" s="11" t="s">
        <v>99</v>
      </c>
      <c r="H15" s="11" t="s">
        <v>201</v>
      </c>
    </row>
    <row r="16" customFormat="false" ht="31.5" hidden="false" customHeight="true" outlineLevel="0" collapsed="false">
      <c r="A16" s="11" t="s">
        <v>202</v>
      </c>
      <c r="B16" s="11" t="s">
        <v>203</v>
      </c>
      <c r="C16" s="11" t="s">
        <v>204</v>
      </c>
      <c r="D16" s="13" t="s">
        <v>122</v>
      </c>
      <c r="E16" s="11" t="s">
        <v>205</v>
      </c>
      <c r="F16" s="11" t="n">
        <v>12</v>
      </c>
      <c r="G16" s="11" t="s">
        <v>99</v>
      </c>
      <c r="H16" s="11" t="s">
        <v>206</v>
      </c>
    </row>
    <row r="17" customFormat="false" ht="31.5" hidden="false" customHeight="true" outlineLevel="0" collapsed="false">
      <c r="A17" s="11" t="s">
        <v>207</v>
      </c>
      <c r="B17" s="11" t="s">
        <v>208</v>
      </c>
      <c r="C17" s="11" t="s">
        <v>209</v>
      </c>
      <c r="D17" s="13" t="s">
        <v>122</v>
      </c>
      <c r="E17" s="11" t="s">
        <v>205</v>
      </c>
      <c r="F17" s="11" t="n">
        <v>10</v>
      </c>
      <c r="G17" s="11" t="s">
        <v>99</v>
      </c>
      <c r="H17" s="11" t="s">
        <v>210</v>
      </c>
    </row>
    <row r="18" customFormat="false" ht="31.5" hidden="false" customHeight="true" outlineLevel="0" collapsed="false">
      <c r="A18" s="11" t="s">
        <v>211</v>
      </c>
      <c r="B18" s="11" t="s">
        <v>212</v>
      </c>
      <c r="C18" s="11" t="s">
        <v>213</v>
      </c>
      <c r="D18" s="13" t="s">
        <v>122</v>
      </c>
      <c r="E18" s="11" t="s">
        <v>214</v>
      </c>
      <c r="F18" s="11" t="n">
        <v>8</v>
      </c>
      <c r="G18" s="11" t="s">
        <v>9</v>
      </c>
      <c r="H18" s="11" t="s">
        <v>215</v>
      </c>
    </row>
    <row r="19" customFormat="false" ht="31.5" hidden="false" customHeight="true" outlineLevel="0" collapsed="false">
      <c r="A19" s="11" t="s">
        <v>216</v>
      </c>
      <c r="B19" s="11" t="s">
        <v>217</v>
      </c>
      <c r="C19" s="11" t="s">
        <v>218</v>
      </c>
      <c r="D19" s="11" t="s">
        <v>141</v>
      </c>
      <c r="E19" s="11" t="s">
        <v>219</v>
      </c>
      <c r="F19" s="11" t="n">
        <v>3</v>
      </c>
      <c r="G19" s="11" t="s">
        <v>99</v>
      </c>
      <c r="H19" s="11" t="s">
        <v>220</v>
      </c>
    </row>
    <row r="21" customFormat="false" ht="15" hidden="false" customHeight="false" outlineLevel="0" collapsed="false">
      <c r="A21" s="15" t="s">
        <v>151</v>
      </c>
      <c r="F21" s="16" t="n">
        <f aca="false">SUM(F5:F19)</f>
        <v>145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6" min="4" style="0" width="10"/>
    <col collapsed="false" customWidth="true" hidden="false" outlineLevel="0" max="7" min="7" style="0" width="14"/>
    <col collapsed="false" customWidth="true" hidden="false" outlineLevel="0" max="8" min="8" style="0" width="38"/>
  </cols>
  <sheetData>
    <row r="1" customFormat="false" ht="24" hidden="false" customHeight="true" outlineLevel="0" collapsed="false">
      <c r="A1" s="8" t="s">
        <v>221</v>
      </c>
      <c r="B1" s="8"/>
      <c r="C1" s="8"/>
      <c r="D1" s="8"/>
      <c r="E1" s="8"/>
      <c r="F1" s="8"/>
      <c r="G1" s="8"/>
      <c r="H1" s="8"/>
    </row>
    <row r="2" customFormat="false" ht="15" hidden="false" customHeight="false" outlineLevel="0" collapsed="false">
      <c r="A2" s="9" t="s">
        <v>222</v>
      </c>
      <c r="B2" s="9"/>
      <c r="C2" s="9"/>
      <c r="D2" s="9"/>
      <c r="E2" s="9"/>
      <c r="F2" s="9"/>
      <c r="G2" s="9"/>
      <c r="H2" s="9"/>
    </row>
    <row r="4" customFormat="false" ht="26.85" hidden="false" customHeight="false" outlineLevel="0" collapsed="false">
      <c r="A4" s="10" t="s">
        <v>86</v>
      </c>
      <c r="B4" s="10" t="s">
        <v>87</v>
      </c>
      <c r="C4" s="10" t="s">
        <v>88</v>
      </c>
      <c r="D4" s="10" t="s">
        <v>89</v>
      </c>
      <c r="E4" s="10" t="s">
        <v>90</v>
      </c>
      <c r="F4" s="10" t="s">
        <v>91</v>
      </c>
      <c r="G4" s="10" t="s">
        <v>92</v>
      </c>
      <c r="H4" s="10" t="s">
        <v>93</v>
      </c>
    </row>
    <row r="5" customFormat="false" ht="31.5" hidden="false" customHeight="true" outlineLevel="0" collapsed="false">
      <c r="A5" s="11" t="s">
        <v>223</v>
      </c>
      <c r="B5" s="11" t="s">
        <v>224</v>
      </c>
      <c r="C5" s="11" t="s">
        <v>225</v>
      </c>
      <c r="D5" s="12" t="s">
        <v>97</v>
      </c>
      <c r="E5" s="11" t="s">
        <v>226</v>
      </c>
      <c r="F5" s="11" t="n">
        <v>20</v>
      </c>
      <c r="G5" s="11" t="s">
        <v>99</v>
      </c>
      <c r="H5" s="11" t="s">
        <v>227</v>
      </c>
    </row>
    <row r="6" customFormat="false" ht="31.5" hidden="false" customHeight="true" outlineLevel="0" collapsed="false">
      <c r="A6" s="11" t="s">
        <v>228</v>
      </c>
      <c r="B6" s="11" t="s">
        <v>229</v>
      </c>
      <c r="C6" s="11" t="s">
        <v>230</v>
      </c>
      <c r="D6" s="12" t="s">
        <v>97</v>
      </c>
      <c r="E6" s="11" t="s">
        <v>231</v>
      </c>
      <c r="F6" s="11" t="n">
        <v>4</v>
      </c>
      <c r="G6" s="11" t="s">
        <v>223</v>
      </c>
      <c r="H6" s="11" t="s">
        <v>232</v>
      </c>
    </row>
    <row r="7" customFormat="false" ht="31.5" hidden="false" customHeight="true" outlineLevel="0" collapsed="false">
      <c r="A7" s="11" t="s">
        <v>233</v>
      </c>
      <c r="B7" s="11" t="s">
        <v>234</v>
      </c>
      <c r="C7" s="11" t="s">
        <v>213</v>
      </c>
      <c r="D7" s="12" t="s">
        <v>97</v>
      </c>
      <c r="E7" s="11" t="s">
        <v>235</v>
      </c>
      <c r="F7" s="11" t="n">
        <v>6</v>
      </c>
      <c r="G7" s="11" t="s">
        <v>228</v>
      </c>
      <c r="H7" s="11" t="s">
        <v>236</v>
      </c>
    </row>
    <row r="8" customFormat="false" ht="31.5" hidden="false" customHeight="true" outlineLevel="0" collapsed="false">
      <c r="A8" s="11" t="s">
        <v>237</v>
      </c>
      <c r="B8" s="11" t="s">
        <v>238</v>
      </c>
      <c r="C8" s="11" t="s">
        <v>239</v>
      </c>
      <c r="D8" s="12" t="s">
        <v>97</v>
      </c>
      <c r="E8" s="11" t="s">
        <v>240</v>
      </c>
      <c r="F8" s="11" t="n">
        <v>3</v>
      </c>
      <c r="G8" s="11" t="s">
        <v>233</v>
      </c>
      <c r="H8" s="11" t="s">
        <v>241</v>
      </c>
    </row>
    <row r="9" customFormat="false" ht="31.5" hidden="false" customHeight="true" outlineLevel="0" collapsed="false">
      <c r="A9" s="11" t="s">
        <v>242</v>
      </c>
      <c r="B9" s="11" t="s">
        <v>243</v>
      </c>
      <c r="C9" s="11" t="s">
        <v>244</v>
      </c>
      <c r="D9" s="13" t="s">
        <v>122</v>
      </c>
      <c r="E9" s="11" t="s">
        <v>245</v>
      </c>
      <c r="F9" s="11" t="n">
        <v>30</v>
      </c>
      <c r="G9" s="11" t="s">
        <v>99</v>
      </c>
      <c r="H9" s="11" t="s">
        <v>246</v>
      </c>
    </row>
    <row r="10" customFormat="false" ht="31.5" hidden="false" customHeight="true" outlineLevel="0" collapsed="false">
      <c r="A10" s="11" t="s">
        <v>247</v>
      </c>
      <c r="B10" s="11" t="s">
        <v>248</v>
      </c>
      <c r="C10" s="11" t="s">
        <v>249</v>
      </c>
      <c r="D10" s="13" t="s">
        <v>122</v>
      </c>
      <c r="E10" s="11" t="s">
        <v>250</v>
      </c>
      <c r="F10" s="11" t="n">
        <v>8</v>
      </c>
      <c r="G10" s="11" t="s">
        <v>99</v>
      </c>
      <c r="H10" s="11" t="s">
        <v>251</v>
      </c>
    </row>
    <row r="11" customFormat="false" ht="31.5" hidden="false" customHeight="true" outlineLevel="0" collapsed="false">
      <c r="A11" s="11" t="s">
        <v>252</v>
      </c>
      <c r="B11" s="11" t="s">
        <v>253</v>
      </c>
      <c r="C11" s="11" t="s">
        <v>254</v>
      </c>
      <c r="D11" s="12" t="s">
        <v>97</v>
      </c>
      <c r="E11" s="11" t="s">
        <v>255</v>
      </c>
      <c r="F11" s="11" t="n">
        <v>12</v>
      </c>
      <c r="G11" s="11" t="s">
        <v>237</v>
      </c>
      <c r="H11" s="11" t="s">
        <v>256</v>
      </c>
    </row>
    <row r="12" customFormat="false" ht="31.5" hidden="false" customHeight="true" outlineLevel="0" collapsed="false">
      <c r="A12" s="11" t="s">
        <v>257</v>
      </c>
      <c r="B12" s="11" t="s">
        <v>258</v>
      </c>
      <c r="C12" s="11" t="s">
        <v>230</v>
      </c>
      <c r="D12" s="13" t="s">
        <v>122</v>
      </c>
      <c r="E12" s="11" t="s">
        <v>259</v>
      </c>
      <c r="F12" s="11" t="n">
        <v>16</v>
      </c>
      <c r="G12" s="11" t="s">
        <v>99</v>
      </c>
      <c r="H12" s="11" t="s">
        <v>260</v>
      </c>
    </row>
    <row r="13" customFormat="false" ht="31.5" hidden="false" customHeight="true" outlineLevel="0" collapsed="false">
      <c r="A13" s="11" t="s">
        <v>261</v>
      </c>
      <c r="B13" s="11" t="s">
        <v>262</v>
      </c>
      <c r="C13" s="11" t="s">
        <v>263</v>
      </c>
      <c r="D13" s="13" t="s">
        <v>122</v>
      </c>
      <c r="E13" s="11" t="s">
        <v>264</v>
      </c>
      <c r="F13" s="11" t="n">
        <v>4</v>
      </c>
      <c r="G13" s="11" t="s">
        <v>202</v>
      </c>
      <c r="H13" s="11" t="s">
        <v>265</v>
      </c>
    </row>
    <row r="14" customFormat="false" ht="31.5" hidden="false" customHeight="true" outlineLevel="0" collapsed="false">
      <c r="A14" s="11" t="s">
        <v>266</v>
      </c>
      <c r="B14" s="11" t="s">
        <v>267</v>
      </c>
      <c r="C14" s="11" t="s">
        <v>268</v>
      </c>
      <c r="D14" s="13" t="s">
        <v>122</v>
      </c>
      <c r="E14" s="11" t="s">
        <v>264</v>
      </c>
      <c r="F14" s="11" t="n">
        <v>4</v>
      </c>
      <c r="G14" s="11" t="s">
        <v>233</v>
      </c>
      <c r="H14" s="11" t="s">
        <v>269</v>
      </c>
    </row>
    <row r="15" customFormat="false" ht="31.5" hidden="false" customHeight="true" outlineLevel="0" collapsed="false">
      <c r="A15" s="11" t="s">
        <v>270</v>
      </c>
      <c r="B15" s="11" t="s">
        <v>271</v>
      </c>
      <c r="C15" s="11" t="s">
        <v>272</v>
      </c>
      <c r="D15" s="13" t="s">
        <v>122</v>
      </c>
      <c r="E15" s="11" t="s">
        <v>273</v>
      </c>
      <c r="F15" s="11" t="n">
        <v>3</v>
      </c>
      <c r="G15" s="11" t="s">
        <v>207</v>
      </c>
      <c r="H15" s="11" t="s">
        <v>274</v>
      </c>
    </row>
    <row r="16" customFormat="false" ht="31.5" hidden="false" customHeight="true" outlineLevel="0" collapsed="false">
      <c r="A16" s="11" t="s">
        <v>275</v>
      </c>
      <c r="B16" s="11" t="s">
        <v>276</v>
      </c>
      <c r="C16" s="11" t="s">
        <v>277</v>
      </c>
      <c r="D16" s="11" t="s">
        <v>141</v>
      </c>
      <c r="E16" s="11" t="s">
        <v>278</v>
      </c>
      <c r="F16" s="11" t="n">
        <v>4</v>
      </c>
      <c r="G16" s="11" t="s">
        <v>99</v>
      </c>
      <c r="H16" s="11" t="s">
        <v>279</v>
      </c>
    </row>
    <row r="17" customFormat="false" ht="31.5" hidden="false" customHeight="true" outlineLevel="0" collapsed="false">
      <c r="A17" s="11" t="s">
        <v>280</v>
      </c>
      <c r="B17" s="11" t="s">
        <v>281</v>
      </c>
      <c r="C17" s="11" t="s">
        <v>218</v>
      </c>
      <c r="D17" s="11" t="s">
        <v>141</v>
      </c>
      <c r="E17" s="11" t="s">
        <v>278</v>
      </c>
      <c r="F17" s="11" t="n">
        <v>3</v>
      </c>
      <c r="G17" s="11" t="s">
        <v>99</v>
      </c>
      <c r="H17" s="11" t="s">
        <v>282</v>
      </c>
    </row>
    <row r="19" customFormat="false" ht="15" hidden="false" customHeight="false" outlineLevel="0" collapsed="false">
      <c r="A19" s="15" t="s">
        <v>151</v>
      </c>
      <c r="F19" s="16" t="n">
        <f aca="false">SUM(F5:F17)</f>
        <v>117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6" min="4" style="0" width="10"/>
    <col collapsed="false" customWidth="true" hidden="false" outlineLevel="0" max="7" min="7" style="0" width="14"/>
    <col collapsed="false" customWidth="true" hidden="false" outlineLevel="0" max="8" min="8" style="0" width="38"/>
  </cols>
  <sheetData>
    <row r="1" customFormat="false" ht="24" hidden="false" customHeight="true" outlineLevel="0" collapsed="false">
      <c r="A1" s="8" t="s">
        <v>283</v>
      </c>
      <c r="B1" s="8"/>
      <c r="C1" s="8"/>
      <c r="D1" s="8"/>
      <c r="E1" s="8"/>
      <c r="F1" s="8"/>
      <c r="G1" s="8"/>
      <c r="H1" s="8"/>
    </row>
    <row r="2" customFormat="false" ht="15" hidden="false" customHeight="false" outlineLevel="0" collapsed="false">
      <c r="A2" s="9" t="s">
        <v>284</v>
      </c>
      <c r="B2" s="9"/>
      <c r="C2" s="9"/>
      <c r="D2" s="9"/>
      <c r="E2" s="9"/>
      <c r="F2" s="9"/>
      <c r="G2" s="9"/>
      <c r="H2" s="9"/>
    </row>
    <row r="4" customFormat="false" ht="26.85" hidden="false" customHeight="false" outlineLevel="0" collapsed="false">
      <c r="A4" s="10" t="s">
        <v>86</v>
      </c>
      <c r="B4" s="10" t="s">
        <v>87</v>
      </c>
      <c r="C4" s="10" t="s">
        <v>88</v>
      </c>
      <c r="D4" s="10" t="s">
        <v>89</v>
      </c>
      <c r="E4" s="10" t="s">
        <v>90</v>
      </c>
      <c r="F4" s="10" t="s">
        <v>91</v>
      </c>
      <c r="G4" s="10" t="s">
        <v>92</v>
      </c>
      <c r="H4" s="10" t="s">
        <v>93</v>
      </c>
    </row>
    <row r="5" customFormat="false" ht="31.5" hidden="false" customHeight="true" outlineLevel="0" collapsed="false">
      <c r="A5" s="11" t="s">
        <v>285</v>
      </c>
      <c r="B5" s="11" t="s">
        <v>286</v>
      </c>
      <c r="C5" s="11" t="s">
        <v>254</v>
      </c>
      <c r="D5" s="12" t="s">
        <v>97</v>
      </c>
      <c r="E5" s="11" t="s">
        <v>287</v>
      </c>
      <c r="F5" s="11" t="n">
        <v>20</v>
      </c>
      <c r="G5" s="11" t="s">
        <v>252</v>
      </c>
      <c r="H5" s="11" t="s">
        <v>288</v>
      </c>
    </row>
    <row r="6" customFormat="false" ht="31.5" hidden="false" customHeight="true" outlineLevel="0" collapsed="false">
      <c r="A6" s="11" t="s">
        <v>289</v>
      </c>
      <c r="B6" s="11" t="s">
        <v>290</v>
      </c>
      <c r="C6" s="11" t="s">
        <v>291</v>
      </c>
      <c r="D6" s="12" t="s">
        <v>97</v>
      </c>
      <c r="E6" s="11" t="s">
        <v>292</v>
      </c>
      <c r="F6" s="11" t="n">
        <v>24</v>
      </c>
      <c r="G6" s="11" t="s">
        <v>285</v>
      </c>
      <c r="H6" s="11" t="s">
        <v>293</v>
      </c>
    </row>
    <row r="7" customFormat="false" ht="31.5" hidden="false" customHeight="true" outlineLevel="0" collapsed="false">
      <c r="A7" s="11" t="s">
        <v>294</v>
      </c>
      <c r="B7" s="11" t="s">
        <v>295</v>
      </c>
      <c r="C7" s="11" t="s">
        <v>296</v>
      </c>
      <c r="D7" s="12" t="s">
        <v>97</v>
      </c>
      <c r="E7" s="11" t="s">
        <v>297</v>
      </c>
      <c r="F7" s="11" t="n">
        <v>2</v>
      </c>
      <c r="G7" s="11" t="s">
        <v>289</v>
      </c>
      <c r="H7" s="11" t="s">
        <v>298</v>
      </c>
    </row>
    <row r="8" customFormat="false" ht="31.5" hidden="false" customHeight="true" outlineLevel="0" collapsed="false">
      <c r="A8" s="11" t="s">
        <v>299</v>
      </c>
      <c r="B8" s="11" t="s">
        <v>300</v>
      </c>
      <c r="C8" s="11" t="s">
        <v>301</v>
      </c>
      <c r="D8" s="12" t="s">
        <v>97</v>
      </c>
      <c r="E8" s="11" t="s">
        <v>302</v>
      </c>
      <c r="F8" s="11" t="n">
        <v>1</v>
      </c>
      <c r="G8" s="11" t="s">
        <v>294</v>
      </c>
      <c r="H8" s="11" t="s">
        <v>303</v>
      </c>
    </row>
    <row r="9" customFormat="false" ht="31.5" hidden="false" customHeight="true" outlineLevel="0" collapsed="false">
      <c r="A9" s="11" t="s">
        <v>304</v>
      </c>
      <c r="B9" s="11" t="s">
        <v>305</v>
      </c>
      <c r="C9" s="11" t="s">
        <v>277</v>
      </c>
      <c r="D9" s="12" t="s">
        <v>97</v>
      </c>
      <c r="E9" s="11" t="s">
        <v>302</v>
      </c>
      <c r="F9" s="11" t="n">
        <v>2</v>
      </c>
      <c r="G9" s="11" t="s">
        <v>294</v>
      </c>
      <c r="H9" s="11" t="s">
        <v>306</v>
      </c>
    </row>
    <row r="10" customFormat="false" ht="31.5" hidden="false" customHeight="true" outlineLevel="0" collapsed="false">
      <c r="A10" s="11" t="s">
        <v>307</v>
      </c>
      <c r="B10" s="11" t="s">
        <v>308</v>
      </c>
      <c r="C10" s="11" t="s">
        <v>277</v>
      </c>
      <c r="D10" s="13" t="s">
        <v>122</v>
      </c>
      <c r="E10" s="11" t="s">
        <v>302</v>
      </c>
      <c r="F10" s="11" t="n">
        <v>6</v>
      </c>
      <c r="G10" s="11" t="s">
        <v>304</v>
      </c>
      <c r="H10" s="11" t="s">
        <v>309</v>
      </c>
    </row>
    <row r="11" customFormat="false" ht="31.5" hidden="false" customHeight="true" outlineLevel="0" collapsed="false">
      <c r="A11" s="11" t="s">
        <v>310</v>
      </c>
      <c r="B11" s="11" t="s">
        <v>311</v>
      </c>
      <c r="C11" s="11" t="s">
        <v>230</v>
      </c>
      <c r="D11" s="12" t="s">
        <v>97</v>
      </c>
      <c r="E11" s="11" t="s">
        <v>312</v>
      </c>
      <c r="F11" s="11" t="n">
        <v>16</v>
      </c>
      <c r="G11" s="11" t="s">
        <v>257</v>
      </c>
      <c r="H11" s="11" t="s">
        <v>313</v>
      </c>
    </row>
    <row r="12" customFormat="false" ht="31.5" hidden="false" customHeight="true" outlineLevel="0" collapsed="false">
      <c r="A12" s="11" t="s">
        <v>314</v>
      </c>
      <c r="B12" s="11" t="s">
        <v>315</v>
      </c>
      <c r="C12" s="11" t="s">
        <v>316</v>
      </c>
      <c r="D12" s="13" t="s">
        <v>122</v>
      </c>
      <c r="E12" s="11" t="s">
        <v>317</v>
      </c>
      <c r="F12" s="11" t="n">
        <v>24</v>
      </c>
      <c r="G12" s="11" t="s">
        <v>261</v>
      </c>
      <c r="H12" s="11" t="s">
        <v>318</v>
      </c>
    </row>
    <row r="13" customFormat="false" ht="31.5" hidden="false" customHeight="true" outlineLevel="0" collapsed="false">
      <c r="A13" s="11" t="s">
        <v>319</v>
      </c>
      <c r="B13" s="11" t="s">
        <v>320</v>
      </c>
      <c r="C13" s="11" t="s">
        <v>316</v>
      </c>
      <c r="D13" s="13" t="s">
        <v>122</v>
      </c>
      <c r="E13" s="11" t="s">
        <v>302</v>
      </c>
      <c r="F13" s="11" t="n">
        <v>12</v>
      </c>
      <c r="G13" s="11" t="s">
        <v>314</v>
      </c>
      <c r="H13" s="11" t="s">
        <v>321</v>
      </c>
    </row>
    <row r="14" customFormat="false" ht="31.5" hidden="false" customHeight="true" outlineLevel="0" collapsed="false">
      <c r="A14" s="11" t="s">
        <v>322</v>
      </c>
      <c r="B14" s="11" t="s">
        <v>323</v>
      </c>
      <c r="C14" s="11" t="s">
        <v>324</v>
      </c>
      <c r="D14" s="13" t="s">
        <v>122</v>
      </c>
      <c r="E14" s="11" t="s">
        <v>302</v>
      </c>
      <c r="F14" s="11" t="n">
        <v>4</v>
      </c>
      <c r="G14" s="11" t="s">
        <v>270</v>
      </c>
      <c r="H14" s="11" t="s">
        <v>325</v>
      </c>
    </row>
    <row r="15" customFormat="false" ht="31.5" hidden="false" customHeight="true" outlineLevel="0" collapsed="false">
      <c r="A15" s="11" t="s">
        <v>326</v>
      </c>
      <c r="B15" s="11" t="s">
        <v>327</v>
      </c>
      <c r="C15" s="11" t="s">
        <v>328</v>
      </c>
      <c r="D15" s="13" t="s">
        <v>122</v>
      </c>
      <c r="E15" s="11" t="s">
        <v>302</v>
      </c>
      <c r="F15" s="11" t="n">
        <v>8</v>
      </c>
      <c r="G15" s="11" t="s">
        <v>99</v>
      </c>
      <c r="H15" s="11" t="s">
        <v>329</v>
      </c>
    </row>
    <row r="16" customFormat="false" ht="31.5" hidden="false" customHeight="true" outlineLevel="0" collapsed="false">
      <c r="A16" s="11" t="s">
        <v>330</v>
      </c>
      <c r="B16" s="11" t="s">
        <v>331</v>
      </c>
      <c r="C16" s="11" t="s">
        <v>277</v>
      </c>
      <c r="D16" s="13" t="s">
        <v>122</v>
      </c>
      <c r="E16" s="11" t="s">
        <v>302</v>
      </c>
      <c r="F16" s="11" t="n">
        <v>24</v>
      </c>
      <c r="G16" s="11" t="s">
        <v>99</v>
      </c>
      <c r="H16" s="11" t="s">
        <v>332</v>
      </c>
    </row>
    <row r="17" customFormat="false" ht="31.5" hidden="false" customHeight="true" outlineLevel="0" collapsed="false">
      <c r="A17" s="11" t="s">
        <v>333</v>
      </c>
      <c r="B17" s="11" t="s">
        <v>334</v>
      </c>
      <c r="C17" s="11" t="s">
        <v>335</v>
      </c>
      <c r="D17" s="13" t="s">
        <v>122</v>
      </c>
      <c r="E17" s="11" t="s">
        <v>302</v>
      </c>
      <c r="F17" s="11" t="n">
        <v>12</v>
      </c>
      <c r="G17" s="11" t="s">
        <v>304</v>
      </c>
      <c r="H17" s="11" t="s">
        <v>336</v>
      </c>
    </row>
    <row r="18" customFormat="false" ht="31.5" hidden="false" customHeight="true" outlineLevel="0" collapsed="false">
      <c r="A18" s="11" t="s">
        <v>337</v>
      </c>
      <c r="B18" s="11" t="s">
        <v>338</v>
      </c>
      <c r="C18" s="11" t="s">
        <v>218</v>
      </c>
      <c r="D18" s="11" t="s">
        <v>141</v>
      </c>
      <c r="E18" s="11" t="s">
        <v>302</v>
      </c>
      <c r="F18" s="11" t="n">
        <v>3</v>
      </c>
      <c r="G18" s="11" t="s">
        <v>99</v>
      </c>
      <c r="H18" s="11" t="s">
        <v>339</v>
      </c>
    </row>
    <row r="20" customFormat="false" ht="15" hidden="false" customHeight="false" outlineLevel="0" collapsed="false">
      <c r="A20" s="15" t="s">
        <v>151</v>
      </c>
      <c r="F20" s="16" t="n">
        <f aca="false">SUM(F5:F18)</f>
        <v>158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6" min="4" style="0" width="10"/>
    <col collapsed="false" customWidth="true" hidden="false" outlineLevel="0" max="7" min="7" style="0" width="14"/>
    <col collapsed="false" customWidth="true" hidden="false" outlineLevel="0" max="8" min="8" style="0" width="38"/>
  </cols>
  <sheetData>
    <row r="1" customFormat="false" ht="24" hidden="false" customHeight="true" outlineLevel="0" collapsed="false">
      <c r="A1" s="8" t="s">
        <v>340</v>
      </c>
      <c r="B1" s="8"/>
      <c r="C1" s="8"/>
      <c r="D1" s="8"/>
      <c r="E1" s="8"/>
      <c r="F1" s="8"/>
      <c r="G1" s="8"/>
      <c r="H1" s="8"/>
    </row>
    <row r="2" customFormat="false" ht="15" hidden="false" customHeight="false" outlineLevel="0" collapsed="false">
      <c r="A2" s="9" t="s">
        <v>341</v>
      </c>
      <c r="B2" s="9"/>
      <c r="C2" s="9"/>
      <c r="D2" s="9"/>
      <c r="E2" s="9"/>
      <c r="F2" s="9"/>
      <c r="G2" s="9"/>
      <c r="H2" s="9"/>
    </row>
    <row r="4" customFormat="false" ht="26.85" hidden="false" customHeight="false" outlineLevel="0" collapsed="false">
      <c r="A4" s="10" t="s">
        <v>86</v>
      </c>
      <c r="B4" s="10" t="s">
        <v>87</v>
      </c>
      <c r="C4" s="10" t="s">
        <v>88</v>
      </c>
      <c r="D4" s="10" t="s">
        <v>89</v>
      </c>
      <c r="E4" s="10" t="s">
        <v>90</v>
      </c>
      <c r="F4" s="10" t="s">
        <v>91</v>
      </c>
      <c r="G4" s="10" t="s">
        <v>92</v>
      </c>
      <c r="H4" s="10" t="s">
        <v>93</v>
      </c>
    </row>
    <row r="5" customFormat="false" ht="31.5" hidden="false" customHeight="true" outlineLevel="0" collapsed="false">
      <c r="A5" s="11" t="s">
        <v>342</v>
      </c>
      <c r="B5" s="11" t="s">
        <v>343</v>
      </c>
      <c r="C5" s="11" t="s">
        <v>277</v>
      </c>
      <c r="D5" s="12" t="s">
        <v>97</v>
      </c>
      <c r="E5" s="11" t="s">
        <v>344</v>
      </c>
      <c r="F5" s="11" t="n">
        <v>6</v>
      </c>
      <c r="G5" s="11" t="s">
        <v>307</v>
      </c>
      <c r="H5" s="11" t="s">
        <v>345</v>
      </c>
    </row>
    <row r="6" customFormat="false" ht="31.5" hidden="false" customHeight="true" outlineLevel="0" collapsed="false">
      <c r="A6" s="11" t="s">
        <v>346</v>
      </c>
      <c r="B6" s="11" t="s">
        <v>347</v>
      </c>
      <c r="C6" s="11" t="s">
        <v>254</v>
      </c>
      <c r="D6" s="12" t="s">
        <v>97</v>
      </c>
      <c r="E6" s="11" t="s">
        <v>348</v>
      </c>
      <c r="F6" s="11" t="n">
        <v>24</v>
      </c>
      <c r="G6" s="11" t="s">
        <v>310</v>
      </c>
      <c r="H6" s="11" t="s">
        <v>349</v>
      </c>
    </row>
    <row r="7" customFormat="false" ht="31.5" hidden="false" customHeight="true" outlineLevel="0" collapsed="false">
      <c r="A7" s="11" t="s">
        <v>350</v>
      </c>
      <c r="B7" s="11" t="s">
        <v>351</v>
      </c>
      <c r="C7" s="11" t="s">
        <v>230</v>
      </c>
      <c r="D7" s="12" t="s">
        <v>97</v>
      </c>
      <c r="E7" s="11" t="s">
        <v>352</v>
      </c>
      <c r="F7" s="11" t="n">
        <v>30</v>
      </c>
      <c r="G7" s="11" t="s">
        <v>99</v>
      </c>
      <c r="H7" s="11" t="s">
        <v>353</v>
      </c>
    </row>
    <row r="8" customFormat="false" ht="31.5" hidden="false" customHeight="true" outlineLevel="0" collapsed="false">
      <c r="A8" s="11" t="s">
        <v>354</v>
      </c>
      <c r="B8" s="11" t="s">
        <v>355</v>
      </c>
      <c r="C8" s="11" t="s">
        <v>204</v>
      </c>
      <c r="D8" s="13" t="s">
        <v>122</v>
      </c>
      <c r="E8" s="11" t="s">
        <v>352</v>
      </c>
      <c r="F8" s="11" t="n">
        <v>16</v>
      </c>
      <c r="G8" s="11" t="s">
        <v>99</v>
      </c>
      <c r="H8" s="11" t="s">
        <v>356</v>
      </c>
    </row>
    <row r="9" customFormat="false" ht="31.5" hidden="false" customHeight="true" outlineLevel="0" collapsed="false">
      <c r="A9" s="11" t="s">
        <v>357</v>
      </c>
      <c r="B9" s="11" t="s">
        <v>358</v>
      </c>
      <c r="C9" s="11" t="s">
        <v>316</v>
      </c>
      <c r="D9" s="13" t="s">
        <v>122</v>
      </c>
      <c r="E9" s="11" t="s">
        <v>359</v>
      </c>
      <c r="F9" s="11" t="n">
        <v>20</v>
      </c>
      <c r="G9" s="11" t="s">
        <v>354</v>
      </c>
      <c r="H9" s="11" t="s">
        <v>360</v>
      </c>
    </row>
    <row r="10" customFormat="false" ht="31.5" hidden="false" customHeight="true" outlineLevel="0" collapsed="false">
      <c r="A10" s="11" t="s">
        <v>361</v>
      </c>
      <c r="B10" s="11" t="s">
        <v>362</v>
      </c>
      <c r="C10" s="11" t="s">
        <v>363</v>
      </c>
      <c r="D10" s="12" t="s">
        <v>97</v>
      </c>
      <c r="E10" s="11" t="s">
        <v>364</v>
      </c>
      <c r="F10" s="11" t="n">
        <v>20</v>
      </c>
      <c r="G10" s="11" t="s">
        <v>319</v>
      </c>
      <c r="H10" s="11" t="s">
        <v>365</v>
      </c>
    </row>
    <row r="11" customFormat="false" ht="31.5" hidden="false" customHeight="true" outlineLevel="0" collapsed="false">
      <c r="A11" s="11" t="s">
        <v>366</v>
      </c>
      <c r="B11" s="11" t="s">
        <v>367</v>
      </c>
      <c r="C11" s="11" t="s">
        <v>368</v>
      </c>
      <c r="D11" s="13" t="s">
        <v>122</v>
      </c>
      <c r="E11" s="11" t="s">
        <v>369</v>
      </c>
      <c r="F11" s="11" t="n">
        <v>8</v>
      </c>
      <c r="G11" s="11" t="s">
        <v>99</v>
      </c>
      <c r="H11" s="11" t="s">
        <v>370</v>
      </c>
    </row>
    <row r="12" customFormat="false" ht="31.5" hidden="false" customHeight="true" outlineLevel="0" collapsed="false">
      <c r="A12" s="11" t="s">
        <v>371</v>
      </c>
      <c r="B12" s="11" t="s">
        <v>372</v>
      </c>
      <c r="C12" s="11" t="s">
        <v>335</v>
      </c>
      <c r="D12" s="12" t="s">
        <v>97</v>
      </c>
      <c r="E12" s="11" t="s">
        <v>359</v>
      </c>
      <c r="F12" s="11" t="n">
        <v>16</v>
      </c>
      <c r="G12" s="11" t="s">
        <v>333</v>
      </c>
      <c r="H12" s="11" t="s">
        <v>373</v>
      </c>
    </row>
    <row r="13" customFormat="false" ht="31.5" hidden="false" customHeight="true" outlineLevel="0" collapsed="false">
      <c r="A13" s="11" t="s">
        <v>374</v>
      </c>
      <c r="B13" s="11" t="s">
        <v>375</v>
      </c>
      <c r="C13" s="11" t="s">
        <v>376</v>
      </c>
      <c r="D13" s="12" t="s">
        <v>97</v>
      </c>
      <c r="E13" s="11" t="s">
        <v>377</v>
      </c>
      <c r="F13" s="11" t="n">
        <v>10</v>
      </c>
      <c r="G13" s="11" t="s">
        <v>371</v>
      </c>
      <c r="H13" s="11" t="s">
        <v>378</v>
      </c>
    </row>
    <row r="14" customFormat="false" ht="31.5" hidden="false" customHeight="true" outlineLevel="0" collapsed="false">
      <c r="A14" s="11" t="s">
        <v>379</v>
      </c>
      <c r="B14" s="11" t="s">
        <v>380</v>
      </c>
      <c r="C14" s="11" t="s">
        <v>376</v>
      </c>
      <c r="D14" s="13" t="s">
        <v>122</v>
      </c>
      <c r="E14" s="11" t="s">
        <v>377</v>
      </c>
      <c r="F14" s="11" t="n">
        <v>10</v>
      </c>
      <c r="G14" s="11" t="s">
        <v>371</v>
      </c>
      <c r="H14" s="11" t="s">
        <v>381</v>
      </c>
    </row>
    <row r="15" customFormat="false" ht="31.5" hidden="false" customHeight="true" outlineLevel="0" collapsed="false">
      <c r="A15" s="11" t="s">
        <v>382</v>
      </c>
      <c r="B15" s="11" t="s">
        <v>383</v>
      </c>
      <c r="C15" s="11" t="s">
        <v>384</v>
      </c>
      <c r="D15" s="13" t="s">
        <v>122</v>
      </c>
      <c r="E15" s="11" t="s">
        <v>377</v>
      </c>
      <c r="F15" s="11" t="n">
        <v>8</v>
      </c>
      <c r="G15" s="11" t="s">
        <v>99</v>
      </c>
      <c r="H15" s="11" t="s">
        <v>385</v>
      </c>
    </row>
    <row r="16" customFormat="false" ht="31.5" hidden="false" customHeight="true" outlineLevel="0" collapsed="false">
      <c r="A16" s="11" t="s">
        <v>386</v>
      </c>
      <c r="B16" s="11" t="s">
        <v>387</v>
      </c>
      <c r="C16" s="11" t="s">
        <v>388</v>
      </c>
      <c r="D16" s="13" t="s">
        <v>122</v>
      </c>
      <c r="E16" s="11" t="s">
        <v>377</v>
      </c>
      <c r="F16" s="11" t="n">
        <v>16</v>
      </c>
      <c r="G16" s="11" t="s">
        <v>99</v>
      </c>
      <c r="H16" s="11" t="s">
        <v>389</v>
      </c>
    </row>
    <row r="17" customFormat="false" ht="31.5" hidden="false" customHeight="true" outlineLevel="0" collapsed="false">
      <c r="A17" s="11" t="s">
        <v>390</v>
      </c>
      <c r="B17" s="11" t="s">
        <v>391</v>
      </c>
      <c r="C17" s="11" t="s">
        <v>277</v>
      </c>
      <c r="D17" s="13" t="s">
        <v>122</v>
      </c>
      <c r="E17" s="11" t="s">
        <v>377</v>
      </c>
      <c r="F17" s="11" t="n">
        <v>30</v>
      </c>
      <c r="G17" s="11" t="s">
        <v>99</v>
      </c>
      <c r="H17" s="11" t="s">
        <v>392</v>
      </c>
    </row>
    <row r="18" customFormat="false" ht="31.5" hidden="false" customHeight="true" outlineLevel="0" collapsed="false">
      <c r="A18" s="11" t="s">
        <v>393</v>
      </c>
      <c r="B18" s="11" t="s">
        <v>394</v>
      </c>
      <c r="C18" s="11" t="s">
        <v>395</v>
      </c>
      <c r="D18" s="11" t="s">
        <v>141</v>
      </c>
      <c r="E18" s="11" t="s">
        <v>377</v>
      </c>
      <c r="F18" s="11" t="n">
        <v>4</v>
      </c>
      <c r="G18" s="11" t="s">
        <v>99</v>
      </c>
      <c r="H18" s="11" t="s">
        <v>396</v>
      </c>
    </row>
    <row r="19" customFormat="false" ht="31.5" hidden="false" customHeight="true" outlineLevel="0" collapsed="false">
      <c r="A19" s="11" t="s">
        <v>397</v>
      </c>
      <c r="B19" s="11" t="s">
        <v>398</v>
      </c>
      <c r="C19" s="11" t="s">
        <v>218</v>
      </c>
      <c r="D19" s="11" t="s">
        <v>141</v>
      </c>
      <c r="E19" s="11" t="s">
        <v>377</v>
      </c>
      <c r="F19" s="11" t="n">
        <v>3</v>
      </c>
      <c r="G19" s="11" t="s">
        <v>99</v>
      </c>
      <c r="H19" s="11" t="s">
        <v>339</v>
      </c>
    </row>
    <row r="21" customFormat="false" ht="15" hidden="false" customHeight="false" outlineLevel="0" collapsed="false">
      <c r="A21" s="15" t="s">
        <v>151</v>
      </c>
      <c r="F21" s="16" t="n">
        <f aca="false">SUM(F5:F19)</f>
        <v>221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6" min="4" style="0" width="10"/>
    <col collapsed="false" customWidth="true" hidden="false" outlineLevel="0" max="7" min="7" style="0" width="14"/>
    <col collapsed="false" customWidth="true" hidden="false" outlineLevel="0" max="8" min="8" style="0" width="38"/>
  </cols>
  <sheetData>
    <row r="1" customFormat="false" ht="24" hidden="false" customHeight="true" outlineLevel="0" collapsed="false">
      <c r="A1" s="8" t="s">
        <v>399</v>
      </c>
      <c r="B1" s="8"/>
      <c r="C1" s="8"/>
      <c r="D1" s="8"/>
      <c r="E1" s="8"/>
      <c r="F1" s="8"/>
      <c r="G1" s="8"/>
      <c r="H1" s="8"/>
    </row>
    <row r="2" customFormat="false" ht="15" hidden="false" customHeight="false" outlineLevel="0" collapsed="false">
      <c r="A2" s="9" t="s">
        <v>400</v>
      </c>
      <c r="B2" s="9"/>
      <c r="C2" s="9"/>
      <c r="D2" s="9"/>
      <c r="E2" s="9"/>
      <c r="F2" s="9"/>
      <c r="G2" s="9"/>
      <c r="H2" s="9"/>
    </row>
    <row r="4" customFormat="false" ht="26.85" hidden="false" customHeight="false" outlineLevel="0" collapsed="false">
      <c r="A4" s="10" t="s">
        <v>86</v>
      </c>
      <c r="B4" s="10" t="s">
        <v>87</v>
      </c>
      <c r="C4" s="10" t="s">
        <v>88</v>
      </c>
      <c r="D4" s="10" t="s">
        <v>89</v>
      </c>
      <c r="E4" s="10" t="s">
        <v>90</v>
      </c>
      <c r="F4" s="10" t="s">
        <v>91</v>
      </c>
      <c r="G4" s="10" t="s">
        <v>92</v>
      </c>
      <c r="H4" s="10" t="s">
        <v>93</v>
      </c>
    </row>
    <row r="5" customFormat="false" ht="31.5" hidden="false" customHeight="true" outlineLevel="0" collapsed="false">
      <c r="A5" s="11" t="s">
        <v>401</v>
      </c>
      <c r="B5" s="11" t="s">
        <v>402</v>
      </c>
      <c r="C5" s="11" t="s">
        <v>230</v>
      </c>
      <c r="D5" s="12" t="s">
        <v>97</v>
      </c>
      <c r="E5" s="11" t="s">
        <v>403</v>
      </c>
      <c r="F5" s="11" t="n">
        <v>16</v>
      </c>
      <c r="G5" s="11" t="s">
        <v>99</v>
      </c>
      <c r="H5" s="11" t="s">
        <v>404</v>
      </c>
    </row>
    <row r="6" customFormat="false" ht="31.5" hidden="false" customHeight="true" outlineLevel="0" collapsed="false">
      <c r="A6" s="11" t="s">
        <v>405</v>
      </c>
      <c r="B6" s="11" t="s">
        <v>406</v>
      </c>
      <c r="C6" s="11" t="s">
        <v>254</v>
      </c>
      <c r="D6" s="12" t="s">
        <v>97</v>
      </c>
      <c r="E6" s="11" t="s">
        <v>407</v>
      </c>
      <c r="F6" s="11" t="n">
        <v>24</v>
      </c>
      <c r="G6" s="11" t="s">
        <v>346</v>
      </c>
      <c r="H6" s="11" t="s">
        <v>408</v>
      </c>
    </row>
    <row r="7" customFormat="false" ht="31.5" hidden="false" customHeight="true" outlineLevel="0" collapsed="false">
      <c r="A7" s="11" t="s">
        <v>409</v>
      </c>
      <c r="B7" s="11" t="s">
        <v>410</v>
      </c>
      <c r="C7" s="11" t="s">
        <v>363</v>
      </c>
      <c r="D7" s="12" t="s">
        <v>97</v>
      </c>
      <c r="E7" s="11" t="s">
        <v>411</v>
      </c>
      <c r="F7" s="11" t="n">
        <v>12</v>
      </c>
      <c r="G7" s="11" t="s">
        <v>361</v>
      </c>
      <c r="H7" s="11" t="s">
        <v>412</v>
      </c>
    </row>
    <row r="8" customFormat="false" ht="31.5" hidden="false" customHeight="true" outlineLevel="0" collapsed="false">
      <c r="A8" s="11" t="s">
        <v>413</v>
      </c>
      <c r="B8" s="11" t="s">
        <v>414</v>
      </c>
      <c r="C8" s="11" t="s">
        <v>415</v>
      </c>
      <c r="D8" s="12" t="s">
        <v>97</v>
      </c>
      <c r="E8" s="11" t="s">
        <v>416</v>
      </c>
      <c r="F8" s="11" t="n">
        <v>8</v>
      </c>
      <c r="G8" s="11" t="s">
        <v>409</v>
      </c>
      <c r="H8" s="11" t="s">
        <v>417</v>
      </c>
    </row>
    <row r="9" customFormat="false" ht="31.5" hidden="false" customHeight="true" outlineLevel="0" collapsed="false">
      <c r="A9" s="11" t="s">
        <v>418</v>
      </c>
      <c r="B9" s="11" t="s">
        <v>419</v>
      </c>
      <c r="C9" s="11" t="s">
        <v>420</v>
      </c>
      <c r="D9" s="12" t="s">
        <v>97</v>
      </c>
      <c r="E9" s="11" t="s">
        <v>421</v>
      </c>
      <c r="F9" s="11" t="n">
        <v>30</v>
      </c>
      <c r="G9" s="11" t="s">
        <v>422</v>
      </c>
      <c r="H9" s="11" t="s">
        <v>423</v>
      </c>
    </row>
    <row r="10" customFormat="false" ht="31.5" hidden="false" customHeight="true" outlineLevel="0" collapsed="false">
      <c r="A10" s="11" t="s">
        <v>424</v>
      </c>
      <c r="B10" s="11" t="s">
        <v>425</v>
      </c>
      <c r="C10" s="11" t="s">
        <v>426</v>
      </c>
      <c r="D10" s="12" t="s">
        <v>97</v>
      </c>
      <c r="E10" s="11" t="s">
        <v>427</v>
      </c>
      <c r="F10" s="11" t="n">
        <v>40</v>
      </c>
      <c r="G10" s="11" t="s">
        <v>275</v>
      </c>
      <c r="H10" s="11" t="s">
        <v>428</v>
      </c>
    </row>
    <row r="11" customFormat="false" ht="31.5" hidden="false" customHeight="true" outlineLevel="0" collapsed="false">
      <c r="A11" s="11" t="s">
        <v>429</v>
      </c>
      <c r="B11" s="11" t="s">
        <v>430</v>
      </c>
      <c r="C11" s="11" t="s">
        <v>277</v>
      </c>
      <c r="D11" s="13" t="s">
        <v>122</v>
      </c>
      <c r="E11" s="11" t="s">
        <v>427</v>
      </c>
      <c r="F11" s="11" t="n">
        <v>12</v>
      </c>
      <c r="G11" s="11" t="s">
        <v>99</v>
      </c>
      <c r="H11" s="11" t="s">
        <v>431</v>
      </c>
    </row>
    <row r="12" customFormat="false" ht="31.5" hidden="false" customHeight="true" outlineLevel="0" collapsed="false">
      <c r="A12" s="11" t="s">
        <v>432</v>
      </c>
      <c r="B12" s="11" t="s">
        <v>433</v>
      </c>
      <c r="C12" s="11" t="s">
        <v>185</v>
      </c>
      <c r="D12" s="13" t="s">
        <v>122</v>
      </c>
      <c r="E12" s="11" t="s">
        <v>434</v>
      </c>
      <c r="F12" s="11" t="n">
        <v>8</v>
      </c>
      <c r="G12" s="11" t="s">
        <v>99</v>
      </c>
      <c r="H12" s="11" t="s">
        <v>435</v>
      </c>
    </row>
    <row r="13" customFormat="false" ht="31.5" hidden="false" customHeight="true" outlineLevel="0" collapsed="false">
      <c r="A13" s="11" t="s">
        <v>436</v>
      </c>
      <c r="B13" s="11" t="s">
        <v>437</v>
      </c>
      <c r="C13" s="11" t="s">
        <v>110</v>
      </c>
      <c r="D13" s="13" t="s">
        <v>122</v>
      </c>
      <c r="E13" s="11" t="s">
        <v>434</v>
      </c>
      <c r="F13" s="11" t="n">
        <v>12</v>
      </c>
      <c r="G13" s="11" t="s">
        <v>120</v>
      </c>
      <c r="H13" s="11" t="s">
        <v>438</v>
      </c>
    </row>
    <row r="14" customFormat="false" ht="31.5" hidden="false" customHeight="true" outlineLevel="0" collapsed="false">
      <c r="A14" s="11" t="s">
        <v>439</v>
      </c>
      <c r="B14" s="11" t="s">
        <v>440</v>
      </c>
      <c r="C14" s="11" t="s">
        <v>441</v>
      </c>
      <c r="D14" s="13" t="s">
        <v>122</v>
      </c>
      <c r="E14" s="11" t="s">
        <v>421</v>
      </c>
      <c r="F14" s="11" t="n">
        <v>16</v>
      </c>
      <c r="G14" s="11" t="s">
        <v>99</v>
      </c>
      <c r="H14" s="11" t="s">
        <v>442</v>
      </c>
    </row>
    <row r="15" customFormat="false" ht="31.5" hidden="false" customHeight="true" outlineLevel="0" collapsed="false">
      <c r="A15" s="11" t="s">
        <v>443</v>
      </c>
      <c r="B15" s="11" t="s">
        <v>444</v>
      </c>
      <c r="C15" s="11" t="s">
        <v>445</v>
      </c>
      <c r="D15" s="13" t="s">
        <v>122</v>
      </c>
      <c r="E15" s="11" t="s">
        <v>427</v>
      </c>
      <c r="F15" s="11" t="n">
        <v>10</v>
      </c>
      <c r="G15" s="11" t="s">
        <v>99</v>
      </c>
      <c r="H15" s="11" t="s">
        <v>446</v>
      </c>
    </row>
    <row r="16" customFormat="false" ht="31.5" hidden="false" customHeight="true" outlineLevel="0" collapsed="false">
      <c r="A16" s="11" t="s">
        <v>447</v>
      </c>
      <c r="B16" s="11" t="s">
        <v>448</v>
      </c>
      <c r="C16" s="11" t="s">
        <v>449</v>
      </c>
      <c r="D16" s="13" t="s">
        <v>122</v>
      </c>
      <c r="E16" s="11" t="s">
        <v>450</v>
      </c>
      <c r="F16" s="11" t="n">
        <v>24</v>
      </c>
      <c r="G16" s="11" t="s">
        <v>99</v>
      </c>
      <c r="H16" s="11" t="s">
        <v>451</v>
      </c>
    </row>
    <row r="17" customFormat="false" ht="31.5" hidden="false" customHeight="true" outlineLevel="0" collapsed="false">
      <c r="A17" s="11" t="s">
        <v>452</v>
      </c>
      <c r="B17" s="11" t="s">
        <v>453</v>
      </c>
      <c r="C17" s="11" t="s">
        <v>218</v>
      </c>
      <c r="D17" s="12" t="s">
        <v>97</v>
      </c>
      <c r="E17" s="11" t="s">
        <v>450</v>
      </c>
      <c r="F17" s="11" t="n">
        <v>8</v>
      </c>
      <c r="G17" s="11" t="s">
        <v>99</v>
      </c>
      <c r="H17" s="11" t="s">
        <v>454</v>
      </c>
    </row>
    <row r="19" customFormat="false" ht="15" hidden="false" customHeight="false" outlineLevel="0" collapsed="false">
      <c r="A19" s="15" t="s">
        <v>151</v>
      </c>
      <c r="F19" s="16" t="n">
        <f aca="false">SUM(F5:F17)</f>
        <v>220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15" min="2" style="0" width="10"/>
  </cols>
  <sheetData>
    <row r="1" customFormat="false" ht="24" hidden="false" customHeight="true" outlineLevel="0" collapsed="false">
      <c r="A1" s="8" t="s">
        <v>455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3" customFormat="false" ht="15" hidden="false" customHeight="false" outlineLevel="0" collapsed="false">
      <c r="A3" s="17" t="s">
        <v>456</v>
      </c>
      <c r="B3" s="6" t="s">
        <v>457</v>
      </c>
      <c r="C3" s="6" t="s">
        <v>458</v>
      </c>
      <c r="D3" s="6" t="s">
        <v>459</v>
      </c>
      <c r="E3" s="6" t="s">
        <v>460</v>
      </c>
      <c r="F3" s="6" t="s">
        <v>461</v>
      </c>
      <c r="G3" s="6" t="s">
        <v>462</v>
      </c>
      <c r="H3" s="6" t="s">
        <v>463</v>
      </c>
      <c r="I3" s="6" t="s">
        <v>464</v>
      </c>
      <c r="J3" s="6" t="s">
        <v>465</v>
      </c>
      <c r="K3" s="6" t="s">
        <v>466</v>
      </c>
      <c r="L3" s="6" t="s">
        <v>467</v>
      </c>
      <c r="M3" s="6" t="s">
        <v>468</v>
      </c>
      <c r="N3" s="6" t="s">
        <v>469</v>
      </c>
      <c r="O3" s="6" t="s">
        <v>470</v>
      </c>
    </row>
    <row r="4" customFormat="false" ht="15" hidden="false" customHeight="false" outlineLevel="0" collapsed="false">
      <c r="A4" s="18" t="s">
        <v>471</v>
      </c>
      <c r="B4" s="19" t="n">
        <v>0</v>
      </c>
      <c r="C4" s="19" t="n">
        <v>100</v>
      </c>
      <c r="D4" s="19" t="n">
        <v>300</v>
      </c>
      <c r="E4" s="19" t="n">
        <v>800</v>
      </c>
      <c r="F4" s="19" t="n">
        <v>1500</v>
      </c>
      <c r="G4" s="19" t="n">
        <v>2500</v>
      </c>
      <c r="H4" s="19" t="n">
        <v>3500</v>
      </c>
      <c r="I4" s="19" t="n">
        <v>4500</v>
      </c>
      <c r="J4" s="19" t="n">
        <v>5500</v>
      </c>
      <c r="K4" s="19" t="n">
        <v>6500</v>
      </c>
      <c r="L4" s="19" t="n">
        <v>7500</v>
      </c>
      <c r="M4" s="19" t="n">
        <v>8500</v>
      </c>
      <c r="N4" s="19" t="n">
        <v>9500</v>
      </c>
      <c r="O4" s="19" t="n">
        <v>10500</v>
      </c>
    </row>
    <row r="5" customFormat="false" ht="15" hidden="false" customHeight="false" outlineLevel="0" collapsed="false">
      <c r="A5" s="18" t="s">
        <v>472</v>
      </c>
      <c r="B5" s="19" t="n">
        <v>0</v>
      </c>
      <c r="C5" s="19" t="n">
        <v>2</v>
      </c>
      <c r="D5" s="19" t="n">
        <v>8</v>
      </c>
      <c r="E5" s="19" t="n">
        <v>15</v>
      </c>
      <c r="F5" s="19" t="n">
        <v>25</v>
      </c>
      <c r="G5" s="19" t="n">
        <v>35</v>
      </c>
      <c r="H5" s="19" t="n">
        <v>45</v>
      </c>
      <c r="I5" s="19" t="n">
        <v>55</v>
      </c>
      <c r="J5" s="19" t="n">
        <v>65</v>
      </c>
      <c r="K5" s="19" t="n">
        <v>75</v>
      </c>
      <c r="L5" s="19" t="n">
        <v>85</v>
      </c>
      <c r="M5" s="19" t="n">
        <v>95</v>
      </c>
      <c r="N5" s="19" t="n">
        <v>105</v>
      </c>
      <c r="O5" s="19" t="n">
        <v>115</v>
      </c>
    </row>
    <row r="6" customFormat="false" ht="15" hidden="false" customHeight="false" outlineLevel="0" collapsed="false">
      <c r="A6" s="18" t="s">
        <v>473</v>
      </c>
      <c r="B6" s="19" t="n">
        <v>0</v>
      </c>
      <c r="C6" s="19" t="n">
        <v>0</v>
      </c>
      <c r="D6" s="19" t="n">
        <v>1</v>
      </c>
      <c r="E6" s="19" t="n">
        <v>2</v>
      </c>
      <c r="F6" s="19" t="n">
        <v>4</v>
      </c>
      <c r="G6" s="19" t="n">
        <v>6</v>
      </c>
      <c r="H6" s="19" t="n">
        <v>8</v>
      </c>
      <c r="I6" s="19" t="n">
        <v>10</v>
      </c>
      <c r="J6" s="19" t="n">
        <v>12</v>
      </c>
      <c r="K6" s="19" t="n">
        <v>14</v>
      </c>
      <c r="L6" s="19" t="n">
        <v>16</v>
      </c>
      <c r="M6" s="19" t="n">
        <v>18</v>
      </c>
      <c r="N6" s="19" t="n">
        <v>20</v>
      </c>
      <c r="O6" s="19" t="n">
        <v>22</v>
      </c>
    </row>
    <row r="7" customFormat="false" ht="15" hidden="false" customHeight="false" outlineLevel="0" collapsed="false">
      <c r="A7" s="18" t="s">
        <v>474</v>
      </c>
      <c r="B7" s="19" t="n">
        <v>0</v>
      </c>
      <c r="C7" s="19" t="n">
        <v>0</v>
      </c>
      <c r="D7" s="19" t="n">
        <v>0</v>
      </c>
      <c r="E7" s="19" t="n">
        <v>0</v>
      </c>
      <c r="F7" s="19" t="n">
        <v>1</v>
      </c>
      <c r="G7" s="19" t="n">
        <v>1</v>
      </c>
      <c r="H7" s="19" t="n">
        <v>1</v>
      </c>
      <c r="I7" s="19" t="n">
        <v>2</v>
      </c>
      <c r="J7" s="19" t="n">
        <v>2</v>
      </c>
      <c r="K7" s="19" t="n">
        <v>2</v>
      </c>
      <c r="L7" s="19" t="n">
        <v>3</v>
      </c>
      <c r="M7" s="19" t="n">
        <v>3</v>
      </c>
      <c r="N7" s="19" t="n">
        <v>3</v>
      </c>
      <c r="O7" s="19" t="n">
        <v>3</v>
      </c>
    </row>
    <row r="8" customFormat="false" ht="15" hidden="false" customHeight="false" outlineLevel="0" collapsed="false">
      <c r="A8" s="18" t="s">
        <v>475</v>
      </c>
      <c r="B8" s="20" t="n">
        <v>0</v>
      </c>
      <c r="C8" s="20" t="n">
        <v>0</v>
      </c>
      <c r="D8" s="20" t="n">
        <v>15000</v>
      </c>
      <c r="E8" s="20" t="n">
        <v>35000</v>
      </c>
      <c r="F8" s="20" t="n">
        <v>60000</v>
      </c>
      <c r="G8" s="20" t="n">
        <v>90000</v>
      </c>
      <c r="H8" s="20" t="n">
        <v>120000</v>
      </c>
      <c r="I8" s="20" t="n">
        <v>150000</v>
      </c>
      <c r="J8" s="20" t="n">
        <v>180000</v>
      </c>
      <c r="K8" s="20" t="n">
        <v>210000</v>
      </c>
      <c r="L8" s="20" t="n">
        <v>240000</v>
      </c>
      <c r="M8" s="20" t="n">
        <v>270000</v>
      </c>
      <c r="N8" s="20" t="n">
        <v>300000</v>
      </c>
      <c r="O8" s="20" t="n">
        <v>350000</v>
      </c>
    </row>
    <row r="9" customFormat="false" ht="15" hidden="false" customHeight="false" outlineLevel="0" collapsed="false">
      <c r="A9" s="18" t="s">
        <v>476</v>
      </c>
      <c r="B9" s="19" t="n">
        <v>0</v>
      </c>
      <c r="C9" s="19" t="n">
        <v>0</v>
      </c>
      <c r="D9" s="19" t="n">
        <v>0</v>
      </c>
      <c r="E9" s="19" t="n">
        <v>1</v>
      </c>
      <c r="F9" s="19" t="n">
        <v>2</v>
      </c>
      <c r="G9" s="19" t="n">
        <v>3</v>
      </c>
      <c r="H9" s="19" t="n">
        <v>3</v>
      </c>
      <c r="I9" s="19" t="n">
        <v>4</v>
      </c>
      <c r="J9" s="19" t="n">
        <v>4</v>
      </c>
      <c r="K9" s="19" t="n">
        <v>5</v>
      </c>
      <c r="L9" s="19" t="n">
        <v>5</v>
      </c>
      <c r="M9" s="19" t="n">
        <v>5</v>
      </c>
      <c r="N9" s="19" t="n">
        <v>5</v>
      </c>
      <c r="O9" s="19" t="n">
        <v>5</v>
      </c>
    </row>
    <row r="10" customFormat="false" ht="15" hidden="false" customHeight="false" outlineLevel="0" collapsed="false">
      <c r="A10" s="18" t="s">
        <v>477</v>
      </c>
      <c r="B10" s="19" t="n">
        <v>0</v>
      </c>
      <c r="C10" s="19" t="n">
        <v>0</v>
      </c>
      <c r="D10" s="19" t="n">
        <v>0</v>
      </c>
      <c r="E10" s="19" t="n">
        <v>0</v>
      </c>
      <c r="F10" s="19" t="n">
        <v>0</v>
      </c>
      <c r="G10" s="19" t="n">
        <v>1</v>
      </c>
      <c r="H10" s="19" t="n">
        <v>1</v>
      </c>
      <c r="I10" s="19" t="n">
        <v>2</v>
      </c>
      <c r="J10" s="19" t="n">
        <v>2</v>
      </c>
      <c r="K10" s="19" t="n">
        <v>2</v>
      </c>
      <c r="L10" s="19" t="n">
        <v>3</v>
      </c>
      <c r="M10" s="19" t="n">
        <v>3</v>
      </c>
      <c r="N10" s="19" t="n">
        <v>3</v>
      </c>
      <c r="O10" s="19" t="n">
        <v>3</v>
      </c>
    </row>
    <row r="11" customFormat="false" ht="15" hidden="false" customHeight="false" outlineLevel="0" collapsed="false">
      <c r="A11" s="18" t="s">
        <v>478</v>
      </c>
      <c r="B11" s="19" t="n">
        <v>0</v>
      </c>
      <c r="C11" s="19" t="n">
        <v>20</v>
      </c>
      <c r="D11" s="19" t="n">
        <v>50</v>
      </c>
      <c r="E11" s="19" t="n">
        <v>100</v>
      </c>
      <c r="F11" s="19" t="n">
        <v>150</v>
      </c>
      <c r="G11" s="19" t="n">
        <v>200</v>
      </c>
      <c r="H11" s="19" t="n">
        <v>250</v>
      </c>
      <c r="I11" s="19" t="n">
        <v>300</v>
      </c>
      <c r="J11" s="19" t="n">
        <v>350</v>
      </c>
      <c r="K11" s="19" t="n">
        <v>400</v>
      </c>
      <c r="L11" s="19" t="n">
        <v>450</v>
      </c>
      <c r="M11" s="19" t="n">
        <v>500</v>
      </c>
      <c r="N11" s="19" t="n">
        <v>550</v>
      </c>
      <c r="O11" s="19" t="n">
        <v>600</v>
      </c>
    </row>
    <row r="12" customFormat="false" ht="15" hidden="false" customHeight="false" outlineLevel="0" collapsed="false">
      <c r="A12" s="18" t="s">
        <v>74</v>
      </c>
      <c r="B12" s="19" t="n">
        <v>0</v>
      </c>
      <c r="C12" s="19" t="n">
        <v>50</v>
      </c>
      <c r="D12" s="19" t="n">
        <v>100</v>
      </c>
      <c r="E12" s="19" t="n">
        <v>150</v>
      </c>
      <c r="F12" s="19" t="n">
        <v>200</v>
      </c>
      <c r="G12" s="19" t="n">
        <v>250</v>
      </c>
      <c r="H12" s="19" t="n">
        <v>300</v>
      </c>
      <c r="I12" s="19" t="n">
        <v>350</v>
      </c>
      <c r="J12" s="19" t="n">
        <v>400</v>
      </c>
      <c r="K12" s="19" t="n">
        <v>450</v>
      </c>
      <c r="L12" s="19" t="n">
        <v>500</v>
      </c>
      <c r="M12" s="19" t="n">
        <v>550</v>
      </c>
      <c r="N12" s="19" t="n">
        <v>600</v>
      </c>
      <c r="O12" s="19" t="n">
        <v>700</v>
      </c>
    </row>
    <row r="13" customFormat="false" ht="15" hidden="false" customHeight="false" outlineLevel="0" collapsed="false">
      <c r="A13" s="18" t="s">
        <v>479</v>
      </c>
      <c r="B13" s="19" t="n">
        <v>1000</v>
      </c>
      <c r="C13" s="19" t="n">
        <v>1100</v>
      </c>
      <c r="D13" s="19" t="n">
        <v>1250</v>
      </c>
      <c r="E13" s="19" t="n">
        <v>1400</v>
      </c>
      <c r="F13" s="19" t="n">
        <v>1600</v>
      </c>
      <c r="G13" s="19" t="n">
        <v>1800</v>
      </c>
      <c r="H13" s="19" t="n">
        <v>2000</v>
      </c>
      <c r="I13" s="19" t="n">
        <v>2200</v>
      </c>
      <c r="J13" s="19" t="n">
        <v>2400</v>
      </c>
      <c r="K13" s="19" t="n">
        <v>2600</v>
      </c>
      <c r="L13" s="19" t="n">
        <v>2800</v>
      </c>
      <c r="M13" s="19" t="n">
        <v>3000</v>
      </c>
      <c r="N13" s="19" t="n">
        <v>3200</v>
      </c>
      <c r="O13" s="19" t="n">
        <v>3500</v>
      </c>
    </row>
    <row r="14" customFormat="false" ht="15" hidden="false" customHeight="false" outlineLevel="0" collapsed="false">
      <c r="A14" s="18" t="s">
        <v>480</v>
      </c>
      <c r="B14" s="19" t="n">
        <v>0</v>
      </c>
      <c r="C14" s="19" t="n">
        <v>0</v>
      </c>
      <c r="D14" s="19" t="n">
        <v>0</v>
      </c>
      <c r="E14" s="19" t="n">
        <v>0</v>
      </c>
      <c r="F14" s="19" t="n">
        <v>1</v>
      </c>
      <c r="G14" s="19" t="n">
        <v>1</v>
      </c>
      <c r="H14" s="19" t="n">
        <v>2</v>
      </c>
      <c r="I14" s="19" t="n">
        <v>2</v>
      </c>
      <c r="J14" s="19" t="n">
        <v>2</v>
      </c>
      <c r="K14" s="19" t="n">
        <v>3</v>
      </c>
      <c r="L14" s="19" t="n">
        <v>3</v>
      </c>
      <c r="M14" s="19" t="n">
        <v>3</v>
      </c>
      <c r="N14" s="19" t="n">
        <v>4</v>
      </c>
      <c r="O14" s="19" t="n">
        <v>4</v>
      </c>
    </row>
    <row r="15" customFormat="false" ht="15" hidden="false" customHeight="false" outlineLevel="0" collapsed="false">
      <c r="A15" s="18" t="s">
        <v>481</v>
      </c>
      <c r="B15" s="19" t="n">
        <v>0</v>
      </c>
      <c r="C15" s="19" t="n">
        <v>0</v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8</v>
      </c>
      <c r="I15" s="19" t="n">
        <v>8</v>
      </c>
      <c r="J15" s="19" t="n">
        <v>8</v>
      </c>
      <c r="K15" s="19" t="n">
        <v>8</v>
      </c>
      <c r="L15" s="19" t="n">
        <v>9</v>
      </c>
      <c r="M15" s="19" t="n">
        <v>9</v>
      </c>
      <c r="N15" s="19" t="n">
        <v>9</v>
      </c>
      <c r="O15" s="19" t="n">
        <v>9</v>
      </c>
    </row>
    <row r="16" customFormat="false" ht="15" hidden="false" customHeight="false" outlineLevel="0" collapsed="false">
      <c r="A16" s="18" t="s">
        <v>482</v>
      </c>
      <c r="B16" s="19" t="n">
        <v>0</v>
      </c>
      <c r="C16" s="19" t="n">
        <v>0</v>
      </c>
      <c r="D16" s="19" t="n">
        <v>0</v>
      </c>
      <c r="E16" s="19" t="n">
        <v>0</v>
      </c>
      <c r="F16" s="19" t="n">
        <v>0</v>
      </c>
      <c r="G16" s="19" t="n">
        <v>1</v>
      </c>
      <c r="H16" s="19" t="n">
        <v>3</v>
      </c>
      <c r="I16" s="19" t="n">
        <v>5</v>
      </c>
      <c r="J16" s="19" t="n">
        <v>8</v>
      </c>
      <c r="K16" s="19" t="n">
        <v>12</v>
      </c>
      <c r="L16" s="19" t="n">
        <v>15</v>
      </c>
      <c r="M16" s="19" t="n">
        <v>18</v>
      </c>
      <c r="N16" s="19" t="n">
        <v>22</v>
      </c>
      <c r="O16" s="19" t="n">
        <v>25</v>
      </c>
    </row>
    <row r="17" customFormat="false" ht="15" hidden="false" customHeight="false" outlineLevel="0" collapsed="false">
      <c r="A17" s="21" t="s">
        <v>483</v>
      </c>
      <c r="B17" s="22" t="n">
        <v>100</v>
      </c>
      <c r="C17" s="22" t="n">
        <v>120</v>
      </c>
      <c r="D17" s="22" t="n">
        <v>125</v>
      </c>
      <c r="E17" s="22" t="n">
        <v>130</v>
      </c>
      <c r="F17" s="22" t="n">
        <v>135</v>
      </c>
      <c r="G17" s="22" t="n">
        <v>130</v>
      </c>
      <c r="H17" s="22" t="n">
        <v>125</v>
      </c>
      <c r="I17" s="22" t="n">
        <v>130</v>
      </c>
      <c r="J17" s="22" t="n">
        <v>135</v>
      </c>
      <c r="K17" s="22" t="n">
        <v>140</v>
      </c>
      <c r="L17" s="22" t="n">
        <v>145</v>
      </c>
      <c r="M17" s="22" t="n">
        <v>150</v>
      </c>
      <c r="N17" s="22" t="n">
        <v>160</v>
      </c>
      <c r="O17" s="22" t="n">
        <v>140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6"/>
    <col collapsed="false" customWidth="true" hidden="false" outlineLevel="0" max="4" min="4" style="0" width="18"/>
    <col collapsed="false" customWidth="true" hidden="false" outlineLevel="0" max="5" min="5" style="0" width="14"/>
  </cols>
  <sheetData>
    <row r="1" customFormat="false" ht="24" hidden="false" customHeight="true" outlineLevel="0" collapsed="false">
      <c r="A1" s="8" t="s">
        <v>484</v>
      </c>
      <c r="B1" s="8"/>
      <c r="C1" s="8"/>
      <c r="D1" s="8"/>
      <c r="E1" s="8"/>
    </row>
    <row r="3" customFormat="false" ht="15" hidden="false" customHeight="false" outlineLevel="0" collapsed="false">
      <c r="A3" s="6" t="s">
        <v>63</v>
      </c>
      <c r="B3" s="6" t="s">
        <v>485</v>
      </c>
      <c r="C3" s="6" t="s">
        <v>486</v>
      </c>
      <c r="D3" s="6" t="s">
        <v>487</v>
      </c>
      <c r="E3" s="6" t="s">
        <v>488</v>
      </c>
    </row>
    <row r="4" customFormat="false" ht="15" hidden="false" customHeight="false" outlineLevel="0" collapsed="false">
      <c r="A4" s="23" t="s">
        <v>489</v>
      </c>
      <c r="B4" s="24" t="n">
        <v>20000</v>
      </c>
      <c r="C4" s="25" t="n">
        <v>9000</v>
      </c>
      <c r="D4" s="26" t="n">
        <f aca="false">B4-C4</f>
        <v>11000</v>
      </c>
      <c r="E4" s="27" t="n">
        <f aca="false">D4/B4</f>
        <v>0.55</v>
      </c>
    </row>
    <row r="5" customFormat="false" ht="15" hidden="false" customHeight="false" outlineLevel="0" collapsed="false">
      <c r="A5" s="23" t="s">
        <v>490</v>
      </c>
      <c r="B5" s="24" t="n">
        <v>50000</v>
      </c>
      <c r="C5" s="25" t="n">
        <v>28000</v>
      </c>
      <c r="D5" s="26" t="n">
        <f aca="false">B5-C5</f>
        <v>22000</v>
      </c>
      <c r="E5" s="27" t="n">
        <f aca="false">D5/B5</f>
        <v>0.44</v>
      </c>
    </row>
    <row r="6" customFormat="false" ht="15" hidden="false" customHeight="false" outlineLevel="0" collapsed="false">
      <c r="A6" s="23" t="s">
        <v>491</v>
      </c>
      <c r="B6" s="24" t="n">
        <v>140000</v>
      </c>
      <c r="C6" s="25" t="n">
        <v>75000</v>
      </c>
      <c r="D6" s="26" t="n">
        <f aca="false">B6-C6</f>
        <v>65000</v>
      </c>
      <c r="E6" s="27" t="n">
        <f aca="false">D6/B6</f>
        <v>0.464285714285714</v>
      </c>
    </row>
    <row r="7" customFormat="false" ht="15" hidden="false" customHeight="false" outlineLevel="0" collapsed="false">
      <c r="A7" s="23" t="s">
        <v>492</v>
      </c>
      <c r="B7" s="24" t="n">
        <v>24000</v>
      </c>
      <c r="C7" s="25" t="n">
        <v>9000</v>
      </c>
      <c r="D7" s="26" t="n">
        <f aca="false">B7-C7</f>
        <v>15000</v>
      </c>
      <c r="E7" s="27" t="n">
        <f aca="false">D7/B7</f>
        <v>0.625</v>
      </c>
    </row>
    <row r="8" customFormat="false" ht="15" hidden="false" customHeight="false" outlineLevel="0" collapsed="false">
      <c r="A8" s="23" t="s">
        <v>493</v>
      </c>
      <c r="B8" s="24" t="n">
        <v>100000</v>
      </c>
      <c r="C8" s="25" t="n">
        <v>50000</v>
      </c>
      <c r="D8" s="26" t="n">
        <f aca="false">B8-C8</f>
        <v>50000</v>
      </c>
      <c r="E8" s="27" t="n">
        <f aca="false">D8/B8</f>
        <v>0.5</v>
      </c>
    </row>
    <row r="11" customFormat="false" ht="15" hidden="false" customHeight="false" outlineLevel="0" collapsed="false">
      <c r="A11" s="5" t="s">
        <v>494</v>
      </c>
      <c r="B11" s="5"/>
      <c r="C11" s="5"/>
      <c r="D11" s="5"/>
      <c r="E11" s="5"/>
    </row>
    <row r="12" customFormat="false" ht="15" hidden="false" customHeight="false" outlineLevel="0" collapsed="false">
      <c r="A12" s="6" t="s">
        <v>495</v>
      </c>
      <c r="B12" s="6" t="s">
        <v>496</v>
      </c>
      <c r="C12" s="6" t="s">
        <v>497</v>
      </c>
      <c r="D12" s="6" t="s">
        <v>498</v>
      </c>
      <c r="E12" s="6" t="s">
        <v>499</v>
      </c>
    </row>
    <row r="13" customFormat="false" ht="15" hidden="false" customHeight="false" outlineLevel="0" collapsed="false">
      <c r="A13" s="18" t="s">
        <v>500</v>
      </c>
      <c r="B13" s="28" t="n">
        <v>4000</v>
      </c>
      <c r="C13" s="28" t="n">
        <v>15000</v>
      </c>
      <c r="D13" s="28" t="n">
        <v>2500</v>
      </c>
      <c r="E13" s="29" t="n">
        <f aca="false">AVERAGE(B13:D13)</f>
        <v>7166.66666666667</v>
      </c>
    </row>
    <row r="14" customFormat="false" ht="15" hidden="false" customHeight="false" outlineLevel="0" collapsed="false">
      <c r="A14" s="18" t="s">
        <v>501</v>
      </c>
      <c r="B14" s="28" t="n">
        <v>80000</v>
      </c>
      <c r="C14" s="28" t="n">
        <v>400000</v>
      </c>
      <c r="D14" s="28" t="n">
        <v>48000</v>
      </c>
      <c r="E14" s="29" t="n">
        <f aca="false">AVERAGE(B14:D14)</f>
        <v>176000</v>
      </c>
    </row>
    <row r="15" customFormat="false" ht="15" hidden="false" customHeight="false" outlineLevel="0" collapsed="false">
      <c r="A15" s="18" t="s">
        <v>502</v>
      </c>
      <c r="B15" s="30" t="n">
        <f aca="false">B14/B13</f>
        <v>20</v>
      </c>
      <c r="C15" s="30" t="n">
        <f aca="false">C14/C13</f>
        <v>26.6666666666667</v>
      </c>
      <c r="D15" s="30" t="n">
        <f aca="false">D14/D13</f>
        <v>19.2</v>
      </c>
      <c r="E15" s="30" t="n">
        <f aca="false">AVERAGE(B15:D15)</f>
        <v>21.9555555555556</v>
      </c>
    </row>
    <row r="16" customFormat="false" ht="15" hidden="false" customHeight="false" outlineLevel="0" collapsed="false">
      <c r="A16" s="18" t="s">
        <v>503</v>
      </c>
      <c r="B16" s="31" t="n">
        <v>6</v>
      </c>
      <c r="C16" s="31" t="n">
        <v>12</v>
      </c>
      <c r="D16" s="31" t="n">
        <v>9</v>
      </c>
      <c r="E16" s="32" t="n">
        <f aca="false">AVERAGE(B16:D16)</f>
        <v>9</v>
      </c>
    </row>
    <row r="17" customFormat="false" ht="15" hidden="false" customHeight="false" outlineLevel="0" collapsed="false">
      <c r="A17" s="18" t="s">
        <v>504</v>
      </c>
      <c r="B17" s="31" t="n">
        <v>2</v>
      </c>
      <c r="C17" s="31" t="n">
        <v>6</v>
      </c>
      <c r="D17" s="31" t="n">
        <v>3</v>
      </c>
      <c r="E17" s="32" t="n">
        <f aca="false">AVERAGE(B17:D17)</f>
        <v>3.66666666666667</v>
      </c>
    </row>
    <row r="20" customFormat="false" ht="15" hidden="false" customHeight="false" outlineLevel="0" collapsed="false">
      <c r="A20" s="5" t="s">
        <v>505</v>
      </c>
      <c r="B20" s="5"/>
      <c r="C20" s="5"/>
      <c r="D20" s="5"/>
      <c r="E20" s="5"/>
    </row>
    <row r="21" customFormat="false" ht="15" hidden="false" customHeight="false" outlineLevel="0" collapsed="false">
      <c r="A21" s="6" t="s">
        <v>506</v>
      </c>
      <c r="B21" s="6" t="s">
        <v>507</v>
      </c>
      <c r="C21" s="6" t="s">
        <v>485</v>
      </c>
      <c r="D21" s="6" t="s">
        <v>508</v>
      </c>
      <c r="E21" s="6" t="s">
        <v>509</v>
      </c>
    </row>
    <row r="22" customFormat="false" ht="15" hidden="false" customHeight="false" outlineLevel="0" collapsed="false">
      <c r="A22" s="33" t="s">
        <v>510</v>
      </c>
      <c r="B22" s="34" t="n">
        <v>12</v>
      </c>
      <c r="C22" s="35" t="n">
        <v>20000</v>
      </c>
      <c r="D22" s="36" t="n">
        <f aca="false">B22*C22</f>
        <v>240000</v>
      </c>
      <c r="E22" s="37" t="n">
        <f aca="false">D22/$D$27</f>
        <v>0.094488188976378</v>
      </c>
    </row>
    <row r="23" customFormat="false" ht="15" hidden="false" customHeight="false" outlineLevel="0" collapsed="false">
      <c r="A23" s="33" t="s">
        <v>511</v>
      </c>
      <c r="B23" s="34" t="n">
        <v>3</v>
      </c>
      <c r="C23" s="35" t="n">
        <v>600000</v>
      </c>
      <c r="D23" s="36" t="n">
        <f aca="false">B23*C23</f>
        <v>1800000</v>
      </c>
      <c r="E23" s="37" t="n">
        <f aca="false">D23/$D$27</f>
        <v>0.708661417322835</v>
      </c>
    </row>
    <row r="24" customFormat="false" ht="15" hidden="false" customHeight="false" outlineLevel="0" collapsed="false">
      <c r="A24" s="33" t="s">
        <v>512</v>
      </c>
      <c r="B24" s="34" t="n">
        <v>2</v>
      </c>
      <c r="C24" s="35" t="n">
        <v>140000</v>
      </c>
      <c r="D24" s="36" t="n">
        <f aca="false">B24*C24</f>
        <v>280000</v>
      </c>
      <c r="E24" s="37" t="n">
        <f aca="false">D24/$D$27</f>
        <v>0.110236220472441</v>
      </c>
    </row>
    <row r="25" customFormat="false" ht="15" hidden="false" customHeight="false" outlineLevel="0" collapsed="false">
      <c r="A25" s="33" t="s">
        <v>498</v>
      </c>
      <c r="B25" s="34" t="n">
        <v>5</v>
      </c>
      <c r="C25" s="35" t="n">
        <v>24000</v>
      </c>
      <c r="D25" s="36" t="n">
        <f aca="false">B25*C25</f>
        <v>120000</v>
      </c>
      <c r="E25" s="37" t="n">
        <f aca="false">D25/$D$27</f>
        <v>0.047244094488189</v>
      </c>
    </row>
    <row r="26" customFormat="false" ht="15" hidden="false" customHeight="false" outlineLevel="0" collapsed="false">
      <c r="A26" s="33" t="s">
        <v>513</v>
      </c>
      <c r="B26" s="34" t="n">
        <v>1</v>
      </c>
      <c r="C26" s="35" t="n">
        <v>100000</v>
      </c>
      <c r="D26" s="36" t="n">
        <f aca="false">B26*C26</f>
        <v>100000</v>
      </c>
      <c r="E26" s="37" t="n">
        <f aca="false">D26/$D$27</f>
        <v>0.0393700787401575</v>
      </c>
    </row>
    <row r="27" customFormat="false" ht="15" hidden="false" customHeight="false" outlineLevel="0" collapsed="false">
      <c r="A27" s="38" t="s">
        <v>514</v>
      </c>
      <c r="B27" s="39"/>
      <c r="C27" s="39"/>
      <c r="D27" s="40" t="n">
        <f aca="false">SUM(D22:D26)</f>
        <v>2540000</v>
      </c>
      <c r="E27" s="39"/>
    </row>
  </sheetData>
  <mergeCells count="3">
    <mergeCell ref="A1:E1"/>
    <mergeCell ref="A11:E11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2026-04-24T03:00:31Z</dcterms:created>
  <dc:creator>openpyxl</dc:creator>
  <dc:description/>
  <dc:language>en-US</dc:language>
  <cp:lastModifiedBy/>
  <dcterms:modified xsi:type="dcterms:W3CDTF">2026-04-24T03:00:31Z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